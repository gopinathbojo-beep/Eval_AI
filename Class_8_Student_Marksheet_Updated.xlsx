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0-A" sheetId="2" state="visible" r:id="rId2"/>
    <sheet xmlns:r="http://schemas.openxmlformats.org/officeDocument/2006/relationships" name="10-A_2" sheetId="3" state="visible" r:id="rId3"/>
    <sheet xmlns:r="http://schemas.openxmlformats.org/officeDocument/2006/relationships" name="10-B" sheetId="4" state="visible" r:id="rId4"/>
    <sheet xmlns:r="http://schemas.openxmlformats.org/officeDocument/2006/relationships" name="10-B_2" sheetId="5" state="visible" r:id="rId5"/>
    <sheet xmlns:r="http://schemas.openxmlformats.org/officeDocument/2006/relationships" name="11-A" sheetId="6" state="visible" r:id="rId6"/>
    <sheet xmlns:r="http://schemas.openxmlformats.org/officeDocument/2006/relationships" name="11-A_2" sheetId="7" state="visible" r:id="rId7"/>
    <sheet xmlns:r="http://schemas.openxmlformats.org/officeDocument/2006/relationships" name="12-A" sheetId="8" state="visible" r:id="rId8"/>
    <sheet xmlns:r="http://schemas.openxmlformats.org/officeDocument/2006/relationships" name="12-A_2" sheetId="9" state="visible" r:id="rId9"/>
    <sheet xmlns:r="http://schemas.openxmlformats.org/officeDocument/2006/relationships" name="12-B" sheetId="10" state="visible" r:id="rId10"/>
    <sheet xmlns:r="http://schemas.openxmlformats.org/officeDocument/2006/relationships" name="8-A" sheetId="11" state="visible" r:id="rId11"/>
    <sheet xmlns:r="http://schemas.openxmlformats.org/officeDocument/2006/relationships" name="8-A_2" sheetId="12" state="visible" r:id="rId12"/>
    <sheet xmlns:r="http://schemas.openxmlformats.org/officeDocument/2006/relationships" name="8-A_3" sheetId="13" state="visible" r:id="rId13"/>
    <sheet xmlns:r="http://schemas.openxmlformats.org/officeDocument/2006/relationships" name="8-B" sheetId="14" state="visible" r:id="rId14"/>
    <sheet xmlns:r="http://schemas.openxmlformats.org/officeDocument/2006/relationships" name="8-C" sheetId="15" state="visible" r:id="rId15"/>
    <sheet xmlns:r="http://schemas.openxmlformats.org/officeDocument/2006/relationships" name="9-B" sheetId="16" state="visible" r:id="rId16"/>
    <sheet xmlns:r="http://schemas.openxmlformats.org/officeDocument/2006/relationships" name="9-B_2" sheetId="17" state="visible" r:id="rId17"/>
    <sheet xmlns:r="http://schemas.openxmlformats.org/officeDocument/2006/relationships" name="9-B_3" sheetId="18" state="visible" r:id="rId18"/>
    <sheet xmlns:r="http://schemas.openxmlformats.org/officeDocument/2006/relationships" name="9-B_4" sheetId="19" state="visible" r:id="rId19"/>
    <sheet xmlns:r="http://schemas.openxmlformats.org/officeDocument/2006/relationships" name="9-B_5" sheetId="20" state="visible" r:id="rId20"/>
    <sheet xmlns:r="http://schemas.openxmlformats.org/officeDocument/2006/relationships" name="9-B_6" sheetId="21" state="visible" r:id="rId21"/>
    <sheet xmlns:r="http://schemas.openxmlformats.org/officeDocument/2006/relationships" name="Class EvalSplit" sheetId="22" state="visible" r:id="rId22"/>
    <sheet xmlns:r="http://schemas.openxmlformats.org/officeDocument/2006/relationships" name="Class EvalSplit_2" sheetId="23" state="visible" r:id="rId23"/>
    <sheet xmlns:r="http://schemas.openxmlformats.org/officeDocument/2006/relationships" name="Class SplitKey" sheetId="24" state="visible" r:id="rId24"/>
    <sheet xmlns:r="http://schemas.openxmlformats.org/officeDocument/2006/relationships" name="Class SplitKey_2" sheetId="25" state="visible" r:id="rId25"/>
    <sheet xmlns:r="http://schemas.openxmlformats.org/officeDocument/2006/relationships" name="Grade 10" sheetId="26" state="visible" r:id="rId26"/>
    <sheet xmlns:r="http://schemas.openxmlformats.org/officeDocument/2006/relationships" name="Grade 10_2" sheetId="27" state="visible" r:id="rId27"/>
    <sheet xmlns:r="http://schemas.openxmlformats.org/officeDocument/2006/relationships" name="Grade 11" sheetId="28" state="visible" r:id="rId28"/>
    <sheet xmlns:r="http://schemas.openxmlformats.org/officeDocument/2006/relationships" name="Grade 11_2" sheetId="29" state="visible" r:id="rId29"/>
    <sheet xmlns:r="http://schemas.openxmlformats.org/officeDocument/2006/relationships" name="Grade 12" sheetId="30" state="visible" r:id="rId30"/>
    <sheet xmlns:r="http://schemas.openxmlformats.org/officeDocument/2006/relationships" name="Grade 12_2" sheetId="31" state="visible" r:id="rId31"/>
    <sheet xmlns:r="http://schemas.openxmlformats.org/officeDocument/2006/relationships" name="Grade 9" sheetId="32" state="visible" r:id="rId32"/>
    <sheet xmlns:r="http://schemas.openxmlformats.org/officeDocument/2006/relationships" name="Grade 9_2" sheetId="33" state="visible" r:id="rId33"/>
    <sheet xmlns:r="http://schemas.openxmlformats.org/officeDocument/2006/relationships" name="Blank Template" sheetId="34" state="visible" r:id="rId34"/>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1">
    <font>
      <name val="Calibri"/>
      <family val="2"/>
      <color theme="1"/>
      <sz val="11"/>
      <scheme val="minor"/>
    </font>
    <font>
      <name val="Calibri"/>
      <b val="1"/>
      <color rgb="00FFFFFF"/>
      <sz val="15"/>
    </font>
    <font>
      <name val="Calibri"/>
      <b val="1"/>
      <color rgb="00FFFFFF"/>
      <sz val="10"/>
    </font>
    <font>
      <name val="Calibri"/>
      <b val="1"/>
      <color rgb="001F2937"/>
      <sz val="9"/>
    </font>
    <font>
      <name val="Calibri"/>
      <b val="1"/>
      <color rgb="001E3A8A"/>
      <sz val="9"/>
    </font>
    <font>
      <name val="Calibri"/>
      <b val="1"/>
      <sz val="10"/>
    </font>
    <font>
      <name val="Calibri"/>
      <b val="1"/>
      <color rgb="001E3A8A"/>
      <sz val="10"/>
    </font>
    <font>
      <name val="Calibri"/>
      <b val="1"/>
      <sz val="9"/>
    </font>
    <font>
      <name val="Calibri"/>
      <b val="1"/>
      <color rgb="001E3A8A"/>
      <sz val="11"/>
    </font>
    <font>
      <name val="Calibri"/>
      <b val="1"/>
      <color rgb="00166534"/>
      <sz val="10"/>
    </font>
    <font>
      <name val="Calibri"/>
      <b val="1"/>
      <color rgb="00991B1B"/>
      <sz val="10"/>
    </font>
  </fonts>
  <fills count="9">
    <fill>
      <patternFill/>
    </fill>
    <fill>
      <patternFill patternType="gray125"/>
    </fill>
    <fill>
      <patternFill patternType="solid">
        <fgColor rgb="001E3A8A"/>
        <bgColor rgb="001E3A8A"/>
      </patternFill>
    </fill>
    <fill>
      <patternFill patternType="solid">
        <fgColor rgb="003B82F6"/>
        <bgColor rgb="003B82F6"/>
      </patternFill>
    </fill>
    <fill>
      <patternFill patternType="solid">
        <fgColor rgb="00F3F4F6"/>
      </patternFill>
    </fill>
    <fill>
      <patternFill patternType="solid">
        <fgColor rgb="00DBEAFE"/>
      </patternFill>
    </fill>
    <fill>
      <patternFill patternType="solid">
        <fgColor rgb="00F8FAFC"/>
      </patternFill>
    </fill>
    <fill>
      <patternFill patternType="solid">
        <fgColor rgb="00E0F2FE"/>
      </patternFill>
    </fill>
    <fill>
      <patternFill patternType="solid">
        <fgColor rgb="000F766E"/>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1E3A8A"/>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8" fillId="0" borderId="0" pivotButton="0" quotePrefix="0" xfId="0"/>
    <xf numFmtId="0" fontId="2" fillId="8"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5" fillId="0" borderId="1" applyAlignment="1" pivotButton="0" quotePrefix="0" xfId="0">
      <alignment horizontal="center" vertical="center"/>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164" fontId="5" fillId="0" borderId="1" applyAlignment="1" pivotButton="0" quotePrefix="0" xfId="0">
      <alignment horizontal="center" vertical="center"/>
    </xf>
    <xf numFmtId="164" fontId="6" fillId="0" borderId="1" applyAlignment="1" pivotButton="0" quotePrefix="0" xfId="0">
      <alignment horizontal="center" vertical="center"/>
    </xf>
    <xf numFmtId="0" fontId="0" fillId="6" borderId="1" applyAlignment="1" pivotButton="0" quotePrefix="0" xfId="0">
      <alignment horizontal="center" vertical="center"/>
    </xf>
    <xf numFmtId="0" fontId="0" fillId="6" borderId="1" applyAlignment="1" pivotButton="0" quotePrefix="0" xfId="0">
      <alignment horizontal="left" vertical="center"/>
    </xf>
    <xf numFmtId="0" fontId="5" fillId="6" borderId="1" applyAlignment="1" pivotButton="0" quotePrefix="0" xfId="0">
      <alignment horizontal="center" vertical="center"/>
    </xf>
    <xf numFmtId="0" fontId="9" fillId="6" borderId="1" applyAlignment="1" pivotButton="0" quotePrefix="0" xfId="0">
      <alignment horizontal="center" vertical="center"/>
    </xf>
    <xf numFmtId="0" fontId="10" fillId="6" borderId="1" applyAlignment="1" pivotButton="0" quotePrefix="0" xfId="0">
      <alignment horizontal="center" vertical="center"/>
    </xf>
    <xf numFmtId="164" fontId="5" fillId="6" borderId="1" applyAlignment="1" pivotButton="0" quotePrefix="0" xfId="0">
      <alignment horizontal="center" vertical="center"/>
    </xf>
    <xf numFmtId="164" fontId="6" fillId="6" borderId="1" applyAlignment="1" pivotButton="0" quotePrefix="0" xfId="0">
      <alignment horizontal="center" vertical="center"/>
    </xf>
    <xf numFmtId="0" fontId="2" fillId="2"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0" borderId="1" applyAlignment="1" pivotButton="0" quotePrefix="0" xfId="0">
      <alignment horizontal="center" vertical="center"/>
    </xf>
    <xf numFmtId="0" fontId="6" fillId="6" borderId="1" applyAlignment="1" pivotButton="0" quotePrefix="0" xfId="0">
      <alignment horizontal="center" vertical="center"/>
    </xf>
    <xf numFmtId="0" fontId="3" fillId="7" borderId="2" applyAlignment="1" pivotButton="0" quotePrefix="0" xfId="0">
      <alignment horizontal="right" vertical="center"/>
    </xf>
    <xf numFmtId="0" fontId="0" fillId="0" borderId="2" pivotButton="0" quotePrefix="0" xfId="0"/>
    <xf numFmtId="165" fontId="7" fillId="7" borderId="2" applyAlignment="1" pivotButton="0" quotePrefix="0" xfId="0">
      <alignment horizontal="center" vertical="center"/>
    </xf>
    <xf numFmtId="165" fontId="4" fillId="7" borderId="2" applyAlignment="1" pivotButton="0" quotePrefix="0" xfId="0">
      <alignment horizontal="center" vertical="center"/>
    </xf>
    <xf numFmtId="164" fontId="7" fillId="7" borderId="2" applyAlignment="1" pivotButton="0" quotePrefix="0" xfId="0">
      <alignment horizontal="center" vertical="center"/>
    </xf>
    <xf numFmtId="0" fontId="7" fillId="7" borderId="2" applyAlignment="1" pivotButton="0" quotePrefix="0" xfId="0">
      <alignment horizontal="center" vertical="center"/>
    </xf>
    <xf numFmtId="0" fontId="4" fillId="7" borderId="2" applyAlignment="1" pivotButton="0" quotePrefix="0" xfId="0">
      <alignment horizontal="center" vertical="center"/>
    </xf>
    <xf numFmtId="164" fontId="4" fillId="7" borderId="2" applyAlignment="1" pivotButton="0" quotePrefix="0" xfId="0">
      <alignment horizontal="center" vertical="center"/>
    </xf>
  </cellXfs>
  <cellStyles count="1">
    <cellStyle name="Normal" xfId="0" builtinId="0" hidden="0"/>
  </cellStyles>
  <dxfs count="3">
    <dxf>
      <font>
        <b val="1"/>
        <color rgb="00166534"/>
      </font>
      <fill>
        <patternFill patternType="solid">
          <fgColor rgb="00DCFCE7"/>
        </patternFill>
      </fill>
    </dxf>
    <dxf>
      <font>
        <b val="1"/>
        <color rgb="00991B1B"/>
      </font>
      <fill>
        <patternFill patternType="solid">
          <fgColor rgb="00FEE2E2"/>
        </patternFill>
      </fill>
    </dxf>
    <dxf>
      <font>
        <b val="1"/>
        <color rgb="0092400E"/>
      </font>
      <fill>
        <patternFill patternType="solid">
          <f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showGridLines="1" workbookViewId="0">
      <selection activeCell="A1" sqref="A1"/>
    </sheetView>
  </sheetViews>
  <sheetFormatPr baseColWidth="8" defaultRowHeight="15"/>
  <cols>
    <col width="7" customWidth="1" min="1" max="1"/>
    <col width="22" customWidth="1" min="2" max="2"/>
    <col width="16" customWidth="1" min="3" max="3"/>
    <col width="13" customWidth="1" min="4" max="4"/>
    <col width="13" customWidth="1" min="5" max="5"/>
    <col width="18" customWidth="1" min="6" max="6"/>
    <col width="20" customWidth="1" min="7" max="7"/>
  </cols>
  <sheetData>
    <row r="1" ht="36" customHeight="1">
      <c r="A1" s="1" t="inlineStr">
        <is>
          <t>EVAL AI (ADEM) — INSTITUTION MARK SHEET OVERVIEW</t>
        </is>
      </c>
    </row>
    <row r="2" ht="22" customHeight="1">
      <c r="A2" s="2" t="inlineStr">
        <is>
          <t>Academic Year: 2025–2026  |  Total Classes: 32  |  Total Subjects: 30  |  Auto-Consolidated Dashboard</t>
        </is>
      </c>
    </row>
    <row r="4">
      <c r="A4" s="3" t="inlineStr">
        <is>
          <t>CLASS-WISE CONSOLIDATED PERFORMANCE SUMMARY</t>
        </is>
      </c>
    </row>
    <row r="5" ht="24" customHeight="1">
      <c r="A5" s="4" t="inlineStr">
        <is>
          <t>S.No</t>
        </is>
      </c>
      <c r="B5" s="4" t="inlineStr">
        <is>
          <t>Class / Section</t>
        </is>
      </c>
      <c r="C5" s="4" t="inlineStr">
        <is>
          <t>Total Enrolled</t>
        </is>
      </c>
      <c r="D5" s="4" t="inlineStr">
        <is>
          <t>Passed</t>
        </is>
      </c>
      <c r="E5" s="4" t="inlineStr">
        <is>
          <t>Failed</t>
        </is>
      </c>
      <c r="F5" s="4" t="inlineStr">
        <is>
          <t>Pass Percentage</t>
        </is>
      </c>
      <c r="G5" s="4" t="inlineStr">
        <is>
          <t>Class Average (%)</t>
        </is>
      </c>
    </row>
    <row r="6">
      <c r="A6" s="5" t="n">
        <v>1</v>
      </c>
      <c r="B6" s="6" t="inlineStr">
        <is>
          <t>10-A</t>
        </is>
      </c>
      <c r="C6" s="7">
        <f>COUNTA('10-A'!C6:C20)</f>
        <v/>
      </c>
      <c r="D6" s="8">
        <f>COUNTIF('10-A'!CR6:CR20, "PASS")</f>
        <v/>
      </c>
      <c r="E6" s="9">
        <f>COUNTIF('10-A'!CR6:CR20, "FAIL")</f>
        <v/>
      </c>
      <c r="F6" s="10">
        <f>IF(C6&gt;0, ROUND((D6/C6)*100, 1), 0)</f>
        <v/>
      </c>
      <c r="G6" s="11">
        <f>IF(C6&gt;0, ROUND(AVERAGE('10-A'!CQ6:CQ20), 1), 0)</f>
        <v/>
      </c>
    </row>
    <row r="7">
      <c r="A7" s="12" t="n">
        <v>2</v>
      </c>
      <c r="B7" s="13" t="inlineStr">
        <is>
          <t>10-A</t>
        </is>
      </c>
      <c r="C7" s="14">
        <f>COUNTA('10-A_2'!C6:C20)</f>
        <v/>
      </c>
      <c r="D7" s="15">
        <f>COUNTIF('10-A_2'!CR6:CR20, "PASS")</f>
        <v/>
      </c>
      <c r="E7" s="16">
        <f>COUNTIF('10-A_2'!CR6:CR20, "FAIL")</f>
        <v/>
      </c>
      <c r="F7" s="17">
        <f>IF(C7&gt;0, ROUND((D7/C7)*100, 1), 0)</f>
        <v/>
      </c>
      <c r="G7" s="18">
        <f>IF(C7&gt;0, ROUND(AVERAGE('10-A_2'!CQ6:CQ20), 1), 0)</f>
        <v/>
      </c>
    </row>
    <row r="8">
      <c r="A8" s="5" t="n">
        <v>3</v>
      </c>
      <c r="B8" s="6" t="inlineStr">
        <is>
          <t>10-B</t>
        </is>
      </c>
      <c r="C8" s="7">
        <f>COUNTA('10-B'!C6:C20)</f>
        <v/>
      </c>
      <c r="D8" s="8">
        <f>COUNTIF('10-B'!CR6:CR20, "PASS")</f>
        <v/>
      </c>
      <c r="E8" s="9">
        <f>COUNTIF('10-B'!CR6:CR20, "FAIL")</f>
        <v/>
      </c>
      <c r="F8" s="10">
        <f>IF(C8&gt;0, ROUND((D8/C8)*100, 1), 0)</f>
        <v/>
      </c>
      <c r="G8" s="11">
        <f>IF(C8&gt;0, ROUND(AVERAGE('10-B'!CQ6:CQ20), 1), 0)</f>
        <v/>
      </c>
    </row>
    <row r="9">
      <c r="A9" s="12" t="n">
        <v>4</v>
      </c>
      <c r="B9" s="13" t="inlineStr">
        <is>
          <t>10-B</t>
        </is>
      </c>
      <c r="C9" s="14">
        <f>COUNTA('10-B_2'!C6:C20)</f>
        <v/>
      </c>
      <c r="D9" s="15">
        <f>COUNTIF('10-B_2'!CR6:CR20, "PASS")</f>
        <v/>
      </c>
      <c r="E9" s="16">
        <f>COUNTIF('10-B_2'!CR6:CR20, "FAIL")</f>
        <v/>
      </c>
      <c r="F9" s="17">
        <f>IF(C9&gt;0, ROUND((D9/C9)*100, 1), 0)</f>
        <v/>
      </c>
      <c r="G9" s="18">
        <f>IF(C9&gt;0, ROUND(AVERAGE('10-B_2'!CQ6:CQ20), 1), 0)</f>
        <v/>
      </c>
    </row>
    <row r="10">
      <c r="A10" s="5" t="n">
        <v>5</v>
      </c>
      <c r="B10" s="6" t="inlineStr">
        <is>
          <t>11-A</t>
        </is>
      </c>
      <c r="C10" s="7">
        <f>COUNTA('11-A'!C6:C20)</f>
        <v/>
      </c>
      <c r="D10" s="8">
        <f>COUNTIF('11-A'!CR6:CR20, "PASS")</f>
        <v/>
      </c>
      <c r="E10" s="9">
        <f>COUNTIF('11-A'!CR6:CR20, "FAIL")</f>
        <v/>
      </c>
      <c r="F10" s="10">
        <f>IF(C10&gt;0, ROUND((D10/C10)*100, 1), 0)</f>
        <v/>
      </c>
      <c r="G10" s="11">
        <f>IF(C10&gt;0, ROUND(AVERAGE('11-A'!CQ6:CQ20), 1), 0)</f>
        <v/>
      </c>
    </row>
    <row r="11">
      <c r="A11" s="12" t="n">
        <v>6</v>
      </c>
      <c r="B11" s="13" t="inlineStr">
        <is>
          <t>11-A</t>
        </is>
      </c>
      <c r="C11" s="14">
        <f>COUNTA('11-A_2'!C6:C20)</f>
        <v/>
      </c>
      <c r="D11" s="15">
        <f>COUNTIF('11-A_2'!CR6:CR20, "PASS")</f>
        <v/>
      </c>
      <c r="E11" s="16">
        <f>COUNTIF('11-A_2'!CR6:CR20, "FAIL")</f>
        <v/>
      </c>
      <c r="F11" s="17">
        <f>IF(C11&gt;0, ROUND((D11/C11)*100, 1), 0)</f>
        <v/>
      </c>
      <c r="G11" s="18">
        <f>IF(C11&gt;0, ROUND(AVERAGE('11-A_2'!CQ6:CQ20), 1), 0)</f>
        <v/>
      </c>
    </row>
    <row r="12">
      <c r="A12" s="5" t="n">
        <v>7</v>
      </c>
      <c r="B12" s="6" t="inlineStr">
        <is>
          <t>12-A</t>
        </is>
      </c>
      <c r="C12" s="7">
        <f>COUNTA('12-A'!C6:C20)</f>
        <v/>
      </c>
      <c r="D12" s="8">
        <f>COUNTIF('12-A'!CR6:CR20, "PASS")</f>
        <v/>
      </c>
      <c r="E12" s="9">
        <f>COUNTIF('12-A'!CR6:CR20, "FAIL")</f>
        <v/>
      </c>
      <c r="F12" s="10">
        <f>IF(C12&gt;0, ROUND((D12/C12)*100, 1), 0)</f>
        <v/>
      </c>
      <c r="G12" s="11">
        <f>IF(C12&gt;0, ROUND(AVERAGE('12-A'!CQ6:CQ20), 1), 0)</f>
        <v/>
      </c>
    </row>
    <row r="13">
      <c r="A13" s="12" t="n">
        <v>8</v>
      </c>
      <c r="B13" s="13" t="inlineStr">
        <is>
          <t>12-A</t>
        </is>
      </c>
      <c r="C13" s="14">
        <f>COUNTA('12-A_2'!C6:C20)</f>
        <v/>
      </c>
      <c r="D13" s="15">
        <f>COUNTIF('12-A_2'!CR6:CR20, "PASS")</f>
        <v/>
      </c>
      <c r="E13" s="16">
        <f>COUNTIF('12-A_2'!CR6:CR20, "FAIL")</f>
        <v/>
      </c>
      <c r="F13" s="17">
        <f>IF(C13&gt;0, ROUND((D13/C13)*100, 1), 0)</f>
        <v/>
      </c>
      <c r="G13" s="18">
        <f>IF(C13&gt;0, ROUND(AVERAGE('12-A_2'!CQ6:CQ20), 1), 0)</f>
        <v/>
      </c>
    </row>
    <row r="14">
      <c r="A14" s="5" t="n">
        <v>9</v>
      </c>
      <c r="B14" s="6" t="inlineStr">
        <is>
          <t>12-B</t>
        </is>
      </c>
      <c r="C14" s="7">
        <f>COUNTA('12-B'!C6:C20)</f>
        <v/>
      </c>
      <c r="D14" s="8">
        <f>COUNTIF('12-B'!CR6:CR20, "PASS")</f>
        <v/>
      </c>
      <c r="E14" s="9">
        <f>COUNTIF('12-B'!CR6:CR20, "FAIL")</f>
        <v/>
      </c>
      <c r="F14" s="10">
        <f>IF(C14&gt;0, ROUND((D14/C14)*100, 1), 0)</f>
        <v/>
      </c>
      <c r="G14" s="11">
        <f>IF(C14&gt;0, ROUND(AVERAGE('12-B'!CQ6:CQ20), 1), 0)</f>
        <v/>
      </c>
    </row>
    <row r="15">
      <c r="A15" s="12" t="n">
        <v>10</v>
      </c>
      <c r="B15" s="13" t="inlineStr">
        <is>
          <t>8-A</t>
        </is>
      </c>
      <c r="C15" s="14">
        <f>COUNTA('8-A'!C6:C20)</f>
        <v/>
      </c>
      <c r="D15" s="15">
        <f>COUNTIF('8-A'!CR6:CR20, "PASS")</f>
        <v/>
      </c>
      <c r="E15" s="16">
        <f>COUNTIF('8-A'!CR6:CR20, "FAIL")</f>
        <v/>
      </c>
      <c r="F15" s="17">
        <f>IF(C15&gt;0, ROUND((D15/C15)*100, 1), 0)</f>
        <v/>
      </c>
      <c r="G15" s="18">
        <f>IF(C15&gt;0, ROUND(AVERAGE('8-A'!CQ6:CQ20), 1), 0)</f>
        <v/>
      </c>
    </row>
    <row r="16">
      <c r="A16" s="5" t="n">
        <v>11</v>
      </c>
      <c r="B16" s="6" t="inlineStr">
        <is>
          <t>8-A</t>
        </is>
      </c>
      <c r="C16" s="7">
        <f>COUNTA('8-A_2'!C6:C20)</f>
        <v/>
      </c>
      <c r="D16" s="8">
        <f>COUNTIF('8-A_2'!CR6:CR20, "PASS")</f>
        <v/>
      </c>
      <c r="E16" s="9">
        <f>COUNTIF('8-A_2'!CR6:CR20, "FAIL")</f>
        <v/>
      </c>
      <c r="F16" s="10">
        <f>IF(C16&gt;0, ROUND((D16/C16)*100, 1), 0)</f>
        <v/>
      </c>
      <c r="G16" s="11">
        <f>IF(C16&gt;0, ROUND(AVERAGE('8-A_2'!CQ6:CQ20), 1), 0)</f>
        <v/>
      </c>
    </row>
    <row r="17">
      <c r="A17" s="12" t="n">
        <v>12</v>
      </c>
      <c r="B17" s="13" t="inlineStr">
        <is>
          <t>8-A</t>
        </is>
      </c>
      <c r="C17" s="14">
        <f>COUNTA('8-A_3'!C6:C20)</f>
        <v/>
      </c>
      <c r="D17" s="15">
        <f>COUNTIF('8-A_3'!CR6:CR20, "PASS")</f>
        <v/>
      </c>
      <c r="E17" s="16">
        <f>COUNTIF('8-A_3'!CR6:CR20, "FAIL")</f>
        <v/>
      </c>
      <c r="F17" s="17">
        <f>IF(C17&gt;0, ROUND((D17/C17)*100, 1), 0)</f>
        <v/>
      </c>
      <c r="G17" s="18">
        <f>IF(C17&gt;0, ROUND(AVERAGE('8-A_3'!CQ6:CQ20), 1), 0)</f>
        <v/>
      </c>
    </row>
    <row r="18">
      <c r="A18" s="5" t="n">
        <v>13</v>
      </c>
      <c r="B18" s="6" t="inlineStr">
        <is>
          <t>8-B</t>
        </is>
      </c>
      <c r="C18" s="7">
        <f>COUNTA('8-B'!C6:C20)</f>
        <v/>
      </c>
      <c r="D18" s="8">
        <f>COUNTIF('8-B'!CR6:CR20, "PASS")</f>
        <v/>
      </c>
      <c r="E18" s="9">
        <f>COUNTIF('8-B'!CR6:CR20, "FAIL")</f>
        <v/>
      </c>
      <c r="F18" s="10">
        <f>IF(C18&gt;0, ROUND((D18/C18)*100, 1), 0)</f>
        <v/>
      </c>
      <c r="G18" s="11">
        <f>IF(C18&gt;0, ROUND(AVERAGE('8-B'!CQ6:CQ20), 1), 0)</f>
        <v/>
      </c>
    </row>
    <row r="19">
      <c r="A19" s="12" t="n">
        <v>14</v>
      </c>
      <c r="B19" s="13" t="inlineStr">
        <is>
          <t>8-C</t>
        </is>
      </c>
      <c r="C19" s="14">
        <f>COUNTA('8-C'!C6:C20)</f>
        <v/>
      </c>
      <c r="D19" s="15">
        <f>COUNTIF('8-C'!CR6:CR20, "PASS")</f>
        <v/>
      </c>
      <c r="E19" s="16">
        <f>COUNTIF('8-C'!CR6:CR20, "FAIL")</f>
        <v/>
      </c>
      <c r="F19" s="17">
        <f>IF(C19&gt;0, ROUND((D19/C19)*100, 1), 0)</f>
        <v/>
      </c>
      <c r="G19" s="18">
        <f>IF(C19&gt;0, ROUND(AVERAGE('8-C'!CQ6:CQ20), 1), 0)</f>
        <v/>
      </c>
    </row>
    <row r="20">
      <c r="A20" s="5" t="n">
        <v>15</v>
      </c>
      <c r="B20" s="6" t="inlineStr">
        <is>
          <t>9-B</t>
        </is>
      </c>
      <c r="C20" s="7">
        <f>COUNTA('9-B'!C6:C20)</f>
        <v/>
      </c>
      <c r="D20" s="8">
        <f>COUNTIF('9-B'!CR6:CR20, "PASS")</f>
        <v/>
      </c>
      <c r="E20" s="9">
        <f>COUNTIF('9-B'!CR6:CR20, "FAIL")</f>
        <v/>
      </c>
      <c r="F20" s="10">
        <f>IF(C20&gt;0, ROUND((D20/C20)*100, 1), 0)</f>
        <v/>
      </c>
      <c r="G20" s="11">
        <f>IF(C20&gt;0, ROUND(AVERAGE('9-B'!CQ6:CQ20), 1), 0)</f>
        <v/>
      </c>
    </row>
    <row r="21">
      <c r="A21" s="12" t="n">
        <v>16</v>
      </c>
      <c r="B21" s="13" t="inlineStr">
        <is>
          <t>9-B</t>
        </is>
      </c>
      <c r="C21" s="14">
        <f>COUNTA('9-B_2'!C6:C20)</f>
        <v/>
      </c>
      <c r="D21" s="15">
        <f>COUNTIF('9-B_2'!CR6:CR20, "PASS")</f>
        <v/>
      </c>
      <c r="E21" s="16">
        <f>COUNTIF('9-B_2'!CR6:CR20, "FAIL")</f>
        <v/>
      </c>
      <c r="F21" s="17">
        <f>IF(C21&gt;0, ROUND((D21/C21)*100, 1), 0)</f>
        <v/>
      </c>
      <c r="G21" s="18">
        <f>IF(C21&gt;0, ROUND(AVERAGE('9-B_2'!CQ6:CQ20), 1), 0)</f>
        <v/>
      </c>
    </row>
    <row r="22">
      <c r="A22" s="5" t="n">
        <v>17</v>
      </c>
      <c r="B22" s="6" t="inlineStr">
        <is>
          <t>9-B</t>
        </is>
      </c>
      <c r="C22" s="7">
        <f>COUNTA('9-B_3'!C6:C20)</f>
        <v/>
      </c>
      <c r="D22" s="8">
        <f>COUNTIF('9-B_3'!CR6:CR20, "PASS")</f>
        <v/>
      </c>
      <c r="E22" s="9">
        <f>COUNTIF('9-B_3'!CR6:CR20, "FAIL")</f>
        <v/>
      </c>
      <c r="F22" s="10">
        <f>IF(C22&gt;0, ROUND((D22/C22)*100, 1), 0)</f>
        <v/>
      </c>
      <c r="G22" s="11">
        <f>IF(C22&gt;0, ROUND(AVERAGE('9-B_3'!CQ6:CQ20), 1), 0)</f>
        <v/>
      </c>
    </row>
    <row r="23">
      <c r="A23" s="12" t="n">
        <v>18</v>
      </c>
      <c r="B23" s="13" t="inlineStr">
        <is>
          <t>9-B</t>
        </is>
      </c>
      <c r="C23" s="14">
        <f>COUNTA('9-B_4'!C6:C20)</f>
        <v/>
      </c>
      <c r="D23" s="15">
        <f>COUNTIF('9-B_4'!CR6:CR20, "PASS")</f>
        <v/>
      </c>
      <c r="E23" s="16">
        <f>COUNTIF('9-B_4'!CR6:CR20, "FAIL")</f>
        <v/>
      </c>
      <c r="F23" s="17">
        <f>IF(C23&gt;0, ROUND((D23/C23)*100, 1), 0)</f>
        <v/>
      </c>
      <c r="G23" s="18">
        <f>IF(C23&gt;0, ROUND(AVERAGE('9-B_4'!CQ6:CQ20), 1), 0)</f>
        <v/>
      </c>
    </row>
    <row r="24">
      <c r="A24" s="5" t="n">
        <v>19</v>
      </c>
      <c r="B24" s="6" t="inlineStr">
        <is>
          <t>9-B</t>
        </is>
      </c>
      <c r="C24" s="7">
        <f>COUNTA('9-B_5'!C6:C20)</f>
        <v/>
      </c>
      <c r="D24" s="8">
        <f>COUNTIF('9-B_5'!CR6:CR20, "PASS")</f>
        <v/>
      </c>
      <c r="E24" s="9">
        <f>COUNTIF('9-B_5'!CR6:CR20, "FAIL")</f>
        <v/>
      </c>
      <c r="F24" s="10">
        <f>IF(C24&gt;0, ROUND((D24/C24)*100, 1), 0)</f>
        <v/>
      </c>
      <c r="G24" s="11">
        <f>IF(C24&gt;0, ROUND(AVERAGE('9-B_5'!CQ6:CQ20), 1), 0)</f>
        <v/>
      </c>
    </row>
    <row r="25">
      <c r="A25" s="12" t="n">
        <v>20</v>
      </c>
      <c r="B25" s="13" t="inlineStr">
        <is>
          <t>9-B</t>
        </is>
      </c>
      <c r="C25" s="14">
        <f>COUNTA('9-B_6'!C6:C20)</f>
        <v/>
      </c>
      <c r="D25" s="15">
        <f>COUNTIF('9-B_6'!CR6:CR20, "PASS")</f>
        <v/>
      </c>
      <c r="E25" s="16">
        <f>COUNTIF('9-B_6'!CR6:CR20, "FAIL")</f>
        <v/>
      </c>
      <c r="F25" s="17">
        <f>IF(C25&gt;0, ROUND((D25/C25)*100, 1), 0)</f>
        <v/>
      </c>
      <c r="G25" s="18">
        <f>IF(C25&gt;0, ROUND(AVERAGE('9-B_6'!CQ6:CQ20), 1), 0)</f>
        <v/>
      </c>
    </row>
    <row r="26">
      <c r="A26" s="5" t="n">
        <v>21</v>
      </c>
      <c r="B26" s="6" t="inlineStr">
        <is>
          <t>Class EvalSplit</t>
        </is>
      </c>
      <c r="C26" s="7">
        <f>COUNTA('Class EvalSplit'!C6:C20)</f>
        <v/>
      </c>
      <c r="D26" s="8">
        <f>COUNTIF('Class EvalSplit'!CR6:CR20, "PASS")</f>
        <v/>
      </c>
      <c r="E26" s="9">
        <f>COUNTIF('Class EvalSplit'!CR6:CR20, "FAIL")</f>
        <v/>
      </c>
      <c r="F26" s="10">
        <f>IF(C26&gt;0, ROUND((D26/C26)*100, 1), 0)</f>
        <v/>
      </c>
      <c r="G26" s="11">
        <f>IF(C26&gt;0, ROUND(AVERAGE('Class EvalSplit'!CQ6:CQ20), 1), 0)</f>
        <v/>
      </c>
    </row>
    <row r="27">
      <c r="A27" s="12" t="n">
        <v>22</v>
      </c>
      <c r="B27" s="13" t="inlineStr">
        <is>
          <t>Class EvalSplit</t>
        </is>
      </c>
      <c r="C27" s="14">
        <f>COUNTA('Class EvalSplit_2'!C6:C20)</f>
        <v/>
      </c>
      <c r="D27" s="15">
        <f>COUNTIF('Class EvalSplit_2'!CR6:CR20, "PASS")</f>
        <v/>
      </c>
      <c r="E27" s="16">
        <f>COUNTIF('Class EvalSplit_2'!CR6:CR20, "FAIL")</f>
        <v/>
      </c>
      <c r="F27" s="17">
        <f>IF(C27&gt;0, ROUND((D27/C27)*100, 1), 0)</f>
        <v/>
      </c>
      <c r="G27" s="18">
        <f>IF(C27&gt;0, ROUND(AVERAGE('Class EvalSplit_2'!CQ6:CQ20), 1), 0)</f>
        <v/>
      </c>
    </row>
    <row r="28">
      <c r="A28" s="5" t="n">
        <v>23</v>
      </c>
      <c r="B28" s="6" t="inlineStr">
        <is>
          <t>Class SplitKey</t>
        </is>
      </c>
      <c r="C28" s="7">
        <f>COUNTA('Class SplitKey'!C6:C20)</f>
        <v/>
      </c>
      <c r="D28" s="8">
        <f>COUNTIF('Class SplitKey'!CR6:CR20, "PASS")</f>
        <v/>
      </c>
      <c r="E28" s="9">
        <f>COUNTIF('Class SplitKey'!CR6:CR20, "FAIL")</f>
        <v/>
      </c>
      <c r="F28" s="10">
        <f>IF(C28&gt;0, ROUND((D28/C28)*100, 1), 0)</f>
        <v/>
      </c>
      <c r="G28" s="11">
        <f>IF(C28&gt;0, ROUND(AVERAGE('Class SplitKey'!CQ6:CQ20), 1), 0)</f>
        <v/>
      </c>
    </row>
    <row r="29">
      <c r="A29" s="12" t="n">
        <v>24</v>
      </c>
      <c r="B29" s="13" t="inlineStr">
        <is>
          <t>Class SplitKey</t>
        </is>
      </c>
      <c r="C29" s="14">
        <f>COUNTA('Class SplitKey_2'!C6:C20)</f>
        <v/>
      </c>
      <c r="D29" s="15">
        <f>COUNTIF('Class SplitKey_2'!CR6:CR20, "PASS")</f>
        <v/>
      </c>
      <c r="E29" s="16">
        <f>COUNTIF('Class SplitKey_2'!CR6:CR20, "FAIL")</f>
        <v/>
      </c>
      <c r="F29" s="17">
        <f>IF(C29&gt;0, ROUND((D29/C29)*100, 1), 0)</f>
        <v/>
      </c>
      <c r="G29" s="18">
        <f>IF(C29&gt;0, ROUND(AVERAGE('Class SplitKey_2'!CQ6:CQ20), 1), 0)</f>
        <v/>
      </c>
    </row>
    <row r="30">
      <c r="A30" s="5" t="n">
        <v>25</v>
      </c>
      <c r="B30" s="6" t="inlineStr">
        <is>
          <t>Grade 10</t>
        </is>
      </c>
      <c r="C30" s="7">
        <f>COUNTA('Grade 10'!C6:C20)</f>
        <v/>
      </c>
      <c r="D30" s="8">
        <f>COUNTIF('Grade 10'!CR6:CR20, "PASS")</f>
        <v/>
      </c>
      <c r="E30" s="9">
        <f>COUNTIF('Grade 10'!CR6:CR20, "FAIL")</f>
        <v/>
      </c>
      <c r="F30" s="10">
        <f>IF(C30&gt;0, ROUND((D30/C30)*100, 1), 0)</f>
        <v/>
      </c>
      <c r="G30" s="11">
        <f>IF(C30&gt;0, ROUND(AVERAGE('Grade 10'!CQ6:CQ20), 1), 0)</f>
        <v/>
      </c>
    </row>
    <row r="31">
      <c r="A31" s="12" t="n">
        <v>26</v>
      </c>
      <c r="B31" s="13" t="inlineStr">
        <is>
          <t>Grade 10</t>
        </is>
      </c>
      <c r="C31" s="14">
        <f>COUNTA('Grade 10_2'!C6:C20)</f>
        <v/>
      </c>
      <c r="D31" s="15">
        <f>COUNTIF('Grade 10_2'!CR6:CR20, "PASS")</f>
        <v/>
      </c>
      <c r="E31" s="16">
        <f>COUNTIF('Grade 10_2'!CR6:CR20, "FAIL")</f>
        <v/>
      </c>
      <c r="F31" s="17">
        <f>IF(C31&gt;0, ROUND((D31/C31)*100, 1), 0)</f>
        <v/>
      </c>
      <c r="G31" s="18">
        <f>IF(C31&gt;0, ROUND(AVERAGE('Grade 10_2'!CQ6:CQ20), 1), 0)</f>
        <v/>
      </c>
    </row>
    <row r="32">
      <c r="A32" s="5" t="n">
        <v>27</v>
      </c>
      <c r="B32" s="6" t="inlineStr">
        <is>
          <t>Grade 11</t>
        </is>
      </c>
      <c r="C32" s="7">
        <f>COUNTA('Grade 11'!C6:C20)</f>
        <v/>
      </c>
      <c r="D32" s="8">
        <f>COUNTIF('Grade 11'!CR6:CR20, "PASS")</f>
        <v/>
      </c>
      <c r="E32" s="9">
        <f>COUNTIF('Grade 11'!CR6:CR20, "FAIL")</f>
        <v/>
      </c>
      <c r="F32" s="10">
        <f>IF(C32&gt;0, ROUND((D32/C32)*100, 1), 0)</f>
        <v/>
      </c>
      <c r="G32" s="11">
        <f>IF(C32&gt;0, ROUND(AVERAGE('Grade 11'!CQ6:CQ20), 1), 0)</f>
        <v/>
      </c>
    </row>
    <row r="33">
      <c r="A33" s="12" t="n">
        <v>28</v>
      </c>
      <c r="B33" s="13" t="inlineStr">
        <is>
          <t>Grade 11</t>
        </is>
      </c>
      <c r="C33" s="14">
        <f>COUNTA('Grade 11_2'!C6:C20)</f>
        <v/>
      </c>
      <c r="D33" s="15">
        <f>COUNTIF('Grade 11_2'!CR6:CR20, "PASS")</f>
        <v/>
      </c>
      <c r="E33" s="16">
        <f>COUNTIF('Grade 11_2'!CR6:CR20, "FAIL")</f>
        <v/>
      </c>
      <c r="F33" s="17">
        <f>IF(C33&gt;0, ROUND((D33/C33)*100, 1), 0)</f>
        <v/>
      </c>
      <c r="G33" s="18">
        <f>IF(C33&gt;0, ROUND(AVERAGE('Grade 11_2'!CQ6:CQ20), 1), 0)</f>
        <v/>
      </c>
    </row>
    <row r="34">
      <c r="A34" s="5" t="n">
        <v>29</v>
      </c>
      <c r="B34" s="6" t="inlineStr">
        <is>
          <t>Grade 12</t>
        </is>
      </c>
      <c r="C34" s="7">
        <f>COUNTA('Grade 12'!C6:C20)</f>
        <v/>
      </c>
      <c r="D34" s="8">
        <f>COUNTIF('Grade 12'!CR6:CR20, "PASS")</f>
        <v/>
      </c>
      <c r="E34" s="9">
        <f>COUNTIF('Grade 12'!CR6:CR20, "FAIL")</f>
        <v/>
      </c>
      <c r="F34" s="10">
        <f>IF(C34&gt;0, ROUND((D34/C34)*100, 1), 0)</f>
        <v/>
      </c>
      <c r="G34" s="11">
        <f>IF(C34&gt;0, ROUND(AVERAGE('Grade 12'!CQ6:CQ20), 1), 0)</f>
        <v/>
      </c>
    </row>
    <row r="35">
      <c r="A35" s="12" t="n">
        <v>30</v>
      </c>
      <c r="B35" s="13" t="inlineStr">
        <is>
          <t>Grade 12</t>
        </is>
      </c>
      <c r="C35" s="14">
        <f>COUNTA('Grade 12_2'!C6:C20)</f>
        <v/>
      </c>
      <c r="D35" s="15">
        <f>COUNTIF('Grade 12_2'!CR6:CR20, "PASS")</f>
        <v/>
      </c>
      <c r="E35" s="16">
        <f>COUNTIF('Grade 12_2'!CR6:CR20, "FAIL")</f>
        <v/>
      </c>
      <c r="F35" s="17">
        <f>IF(C35&gt;0, ROUND((D35/C35)*100, 1), 0)</f>
        <v/>
      </c>
      <c r="G35" s="18">
        <f>IF(C35&gt;0, ROUND(AVERAGE('Grade 12_2'!CQ6:CQ20), 1), 0)</f>
        <v/>
      </c>
    </row>
    <row r="36">
      <c r="A36" s="5" t="n">
        <v>31</v>
      </c>
      <c r="B36" s="6" t="inlineStr">
        <is>
          <t>Grade 9</t>
        </is>
      </c>
      <c r="C36" s="7">
        <f>COUNTA('Grade 9'!C6:C20)</f>
        <v/>
      </c>
      <c r="D36" s="8">
        <f>COUNTIF('Grade 9'!CR6:CR20, "PASS")</f>
        <v/>
      </c>
      <c r="E36" s="9">
        <f>COUNTIF('Grade 9'!CR6:CR20, "FAIL")</f>
        <v/>
      </c>
      <c r="F36" s="10">
        <f>IF(C36&gt;0, ROUND((D36/C36)*100, 1), 0)</f>
        <v/>
      </c>
      <c r="G36" s="11">
        <f>IF(C36&gt;0, ROUND(AVERAGE('Grade 9'!CQ6:CQ20), 1), 0)</f>
        <v/>
      </c>
    </row>
    <row r="37">
      <c r="A37" s="12" t="n">
        <v>32</v>
      </c>
      <c r="B37" s="13" t="inlineStr">
        <is>
          <t>Grade 9</t>
        </is>
      </c>
      <c r="C37" s="14">
        <f>COUNTA('Grade 9_2'!C6:C20)</f>
        <v/>
      </c>
      <c r="D37" s="15">
        <f>COUNTIF('Grade 9_2'!CR6:CR20, "PASS")</f>
        <v/>
      </c>
      <c r="E37" s="16">
        <f>COUNTIF('Grade 9_2'!CR6:CR20, "FAIL")</f>
        <v/>
      </c>
      <c r="F37" s="17">
        <f>IF(C37&gt;0, ROUND((D37/C37)*100, 1), 0)</f>
        <v/>
      </c>
      <c r="G37" s="18">
        <f>IF(C37&gt;0, ROUND(AVERAGE('Grade 9_2'!CQ6:CQ20), 1), 0)</f>
        <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10-A EXAMINATION MARK SHEET</t>
        </is>
      </c>
    </row>
    <row r="2" ht="22" customHeight="1">
      <c r="A2" s="2" t="inlineStr">
        <is>
          <t>Academic Year: 2025–2026  |  Class: 10-A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7</t>
        </is>
      </c>
      <c r="C6" s="6" t="inlineStr">
        <is>
          <t>Asha</t>
        </is>
      </c>
      <c r="D6" s="5" t="n"/>
      <c r="E6" s="5" t="n"/>
      <c r="F6" s="7">
        <f>IF(ISBLANK(C6), "", D6+E6)</f>
        <v/>
      </c>
      <c r="G6" s="5" t="n"/>
      <c r="H6" s="5" t="n"/>
      <c r="I6" s="7">
        <f>IF(ISBLANK(C6), "", G6+H6)</f>
        <v/>
      </c>
      <c r="J6" s="5" t="n"/>
      <c r="K6" s="5" t="n"/>
      <c r="L6" s="7">
        <f>IF(ISBLANK(C6), "", J6+K6)</f>
        <v/>
      </c>
      <c r="M6" s="5" t="n">
        <v>9</v>
      </c>
      <c r="N6" s="5" t="n">
        <v>2</v>
      </c>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10-A EXAMINATION MARK SHEET</t>
        </is>
      </c>
    </row>
    <row r="2" ht="22" customHeight="1">
      <c r="A2" s="2" t="inlineStr">
        <is>
          <t>Academic Year: 2025–2026  |  Class: 10-A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7</t>
        </is>
      </c>
      <c r="C6" s="6" t="inlineStr">
        <is>
          <t>Asha</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v>9</v>
      </c>
      <c r="T6" s="5" t="n">
        <v>2</v>
      </c>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10-B EXAMINATION MARK SHEET</t>
        </is>
      </c>
    </row>
    <row r="2" ht="22" customHeight="1">
      <c r="A2" s="2" t="inlineStr">
        <is>
          <t>Academic Year: 2025–2026  |  Class: 10-B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101</t>
        </is>
      </c>
      <c r="C6" s="6" t="inlineStr">
        <is>
          <t>Alice Smith</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v>15</v>
      </c>
      <c r="BD6" s="5" t="n">
        <v>4</v>
      </c>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10-B EXAMINATION MARK SHEET</t>
        </is>
      </c>
    </row>
    <row r="2" ht="22" customHeight="1">
      <c r="A2" s="2" t="inlineStr">
        <is>
          <t>Academic Year: 2025–2026  |  Class: 10-B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101</t>
        </is>
      </c>
      <c r="C6" s="6" t="inlineStr">
        <is>
          <t>Alice Smith</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v>15</v>
      </c>
      <c r="BG6" s="5" t="n">
        <v>4</v>
      </c>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11-A EXAMINATION MARK SHEET</t>
        </is>
      </c>
    </row>
    <row r="2" ht="22" customHeight="1">
      <c r="A2" s="2" t="inlineStr">
        <is>
          <t>Academic Year: 2025–2026  |  Class: 11-A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11-A EXAMINATION MARK SHEET</t>
        </is>
      </c>
    </row>
    <row r="2" ht="22" customHeight="1">
      <c r="A2" s="2" t="inlineStr">
        <is>
          <t>Academic Year: 2025–2026  |  Class: 11-A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12-A EXAMINATION MARK SHEET</t>
        </is>
      </c>
    </row>
    <row r="2" ht="22" customHeight="1">
      <c r="A2" s="2" t="inlineStr">
        <is>
          <t>Academic Year: 2025–2026  |  Class: 12-A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12-A EXAMINATION MARK SHEET</t>
        </is>
      </c>
    </row>
    <row r="2" ht="22" customHeight="1">
      <c r="A2" s="2" t="inlineStr">
        <is>
          <t>Academic Year: 2025–2026  |  Class: 12-A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12-B EXAMINATION MARK SHEET</t>
        </is>
      </c>
    </row>
    <row r="2" ht="22" customHeight="1">
      <c r="A2" s="2" t="inlineStr">
        <is>
          <t>Academic Year: 2025–2026  |  Class: 12-B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103</t>
        </is>
      </c>
      <c r="C6" s="6" t="inlineStr">
        <is>
          <t>Gopinath</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8-A EXAMINATION MARK SHEET</t>
        </is>
      </c>
    </row>
    <row r="2" ht="22" customHeight="1">
      <c r="A2" s="2" t="inlineStr">
        <is>
          <t>Academic Year: 2025–2026  |  Class: 8-A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20</t>
        </is>
      </c>
      <c r="C6" s="6" t="inlineStr">
        <is>
          <t>Nila</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n">
        <v>2</v>
      </c>
      <c r="B7" s="12" t="inlineStr">
        <is>
          <t>21</t>
        </is>
      </c>
      <c r="C7" s="13" t="inlineStr">
        <is>
          <t>Gopinath</t>
        </is>
      </c>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v>8</v>
      </c>
      <c r="CN7" s="12" t="n">
        <v>2</v>
      </c>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n">
        <v>3</v>
      </c>
      <c r="B8" s="5" t="inlineStr">
        <is>
          <t>22</t>
        </is>
      </c>
      <c r="C8" s="6" t="inlineStr">
        <is>
          <t>lisa</t>
        </is>
      </c>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n">
        <v>4</v>
      </c>
      <c r="B9" s="12" t="inlineStr">
        <is>
          <t>23</t>
        </is>
      </c>
      <c r="C9" s="13" t="inlineStr">
        <is>
          <t>bala</t>
        </is>
      </c>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8-A EXAMINATION MARK SHEET</t>
        </is>
      </c>
    </row>
    <row r="2" ht="22" customHeight="1">
      <c r="A2" s="2" t="inlineStr">
        <is>
          <t>Academic Year: 2025–2026  |  Class: 8-A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8-A EXAMINATION MARK SHEET</t>
        </is>
      </c>
    </row>
    <row r="2" ht="22" customHeight="1">
      <c r="A2" s="2" t="inlineStr">
        <is>
          <t>Academic Year: 2025–2026  |  Class: 8-A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8-B EXAMINATION MARK SHEET</t>
        </is>
      </c>
    </row>
    <row r="2" ht="22" customHeight="1">
      <c r="A2" s="2" t="inlineStr">
        <is>
          <t>Academic Year: 2025–2026  |  Class: 8-B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20</t>
        </is>
      </c>
      <c r="C6" s="6" t="inlineStr">
        <is>
          <t>Aran</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n">
        <v>2</v>
      </c>
      <c r="B7" s="12" t="inlineStr">
        <is>
          <t>21</t>
        </is>
      </c>
      <c r="C7" s="13" t="inlineStr">
        <is>
          <t>Harish</t>
        </is>
      </c>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v>8</v>
      </c>
      <c r="CN7" s="12" t="n">
        <v>2</v>
      </c>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n">
        <v>3</v>
      </c>
      <c r="B8" s="5" t="inlineStr">
        <is>
          <t>22</t>
        </is>
      </c>
      <c r="C8" s="6" t="inlineStr">
        <is>
          <t>Diya</t>
        </is>
      </c>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v>7</v>
      </c>
      <c r="CN8" s="5" t="n">
        <v>2</v>
      </c>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n">
        <v>4</v>
      </c>
      <c r="B9" s="12" t="inlineStr">
        <is>
          <t>23</t>
        </is>
      </c>
      <c r="C9" s="13" t="inlineStr">
        <is>
          <t>Oviya</t>
        </is>
      </c>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8-C EXAMINATION MARK SHEET</t>
        </is>
      </c>
    </row>
    <row r="2" ht="22" customHeight="1">
      <c r="A2" s="2" t="inlineStr">
        <is>
          <t>Academic Year: 2025–2026  |  Class: 8-C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20</t>
        </is>
      </c>
      <c r="C6" s="6" t="inlineStr">
        <is>
          <t>Riya</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n">
        <v>2</v>
      </c>
      <c r="B7" s="12" t="inlineStr">
        <is>
          <t>21</t>
        </is>
      </c>
      <c r="C7" s="13" t="inlineStr">
        <is>
          <t>Arul</t>
        </is>
      </c>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n">
        <v>3</v>
      </c>
      <c r="B8" s="5" t="inlineStr">
        <is>
          <t>22</t>
        </is>
      </c>
      <c r="C8" s="6" t="inlineStr">
        <is>
          <t>praveen</t>
        </is>
      </c>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n">
        <v>4</v>
      </c>
      <c r="B9" s="12" t="inlineStr">
        <is>
          <t>23</t>
        </is>
      </c>
      <c r="C9" s="13" t="inlineStr">
        <is>
          <t>Rohith</t>
        </is>
      </c>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9-B EXAMINATION MARK SHEET</t>
        </is>
      </c>
    </row>
    <row r="2" ht="22" customHeight="1">
      <c r="A2" s="2" t="inlineStr">
        <is>
          <t>Academic Year: 2025–2026  |  Class: 9-B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3</t>
        </is>
      </c>
      <c r="C6" s="6" t="inlineStr">
        <is>
          <t>Ravi</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9-B EXAMINATION MARK SHEET</t>
        </is>
      </c>
    </row>
    <row r="2" ht="22" customHeight="1">
      <c r="A2" s="2" t="inlineStr">
        <is>
          <t>Academic Year: 2025–2026  |  Class: 9-B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102</t>
        </is>
      </c>
      <c r="C6" s="6" t="inlineStr">
        <is>
          <t>Bob Jones</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9-B EXAMINATION MARK SHEET</t>
        </is>
      </c>
    </row>
    <row r="2" ht="22" customHeight="1">
      <c r="A2" s="2" t="inlineStr">
        <is>
          <t>Academic Year: 2025–2026  |  Class: 9-B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9-B EXAMINATION MARK SHEET</t>
        </is>
      </c>
    </row>
    <row r="2" ht="22" customHeight="1">
      <c r="A2" s="2" t="inlineStr">
        <is>
          <t>Academic Year: 2025–2026  |  Class: 9-B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3</t>
        </is>
      </c>
      <c r="C6" s="6" t="inlineStr">
        <is>
          <t>Ravi</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9-B EXAMINATION MARK SHEET</t>
        </is>
      </c>
    </row>
    <row r="2" ht="22" customHeight="1">
      <c r="A2" s="2" t="inlineStr">
        <is>
          <t>Academic Year: 2025–2026  |  Class: 9-B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102</t>
        </is>
      </c>
      <c r="C6" s="6" t="inlineStr">
        <is>
          <t>Bob Jones</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9-B EXAMINATION MARK SHEET</t>
        </is>
      </c>
    </row>
    <row r="2" ht="22" customHeight="1">
      <c r="A2" s="2" t="inlineStr">
        <is>
          <t>Academic Year: 2025–2026  |  Class: 9-B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CLASS EVALSPLIT EXAMINATION MARK SHEET</t>
        </is>
      </c>
    </row>
    <row r="2" ht="22" customHeight="1">
      <c r="A2" s="2" t="inlineStr">
        <is>
          <t>Academic Year: 2025–2026  |  Class: Class EvalSplit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101</t>
        </is>
      </c>
      <c r="C6" s="6" t="inlineStr">
        <is>
          <t>Student Test</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CLASS EVALSPLIT EXAMINATION MARK SHEET</t>
        </is>
      </c>
    </row>
    <row r="2" ht="22" customHeight="1">
      <c r="A2" s="2" t="inlineStr">
        <is>
          <t>Academic Year: 2025–2026  |  Class: Class EvalSplit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n">
        <v>1</v>
      </c>
      <c r="B6" s="5" t="inlineStr">
        <is>
          <t>101</t>
        </is>
      </c>
      <c r="C6" s="6" t="inlineStr">
        <is>
          <t>Student Test</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CLASS SPLITKEY EXAMINATION MARK SHEET</t>
        </is>
      </c>
    </row>
    <row r="2" ht="22" customHeight="1">
      <c r="A2" s="2" t="inlineStr">
        <is>
          <t>Academic Year: 2025–2026  |  Class: Class SplitKey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CLASS SPLITKEY EXAMINATION MARK SHEET</t>
        </is>
      </c>
    </row>
    <row r="2" ht="22" customHeight="1">
      <c r="A2" s="2" t="inlineStr">
        <is>
          <t>Academic Year: 2025–2026  |  Class: Class SplitKey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GRADE 10 EXAMINATION MARK SHEET</t>
        </is>
      </c>
    </row>
    <row r="2" ht="22" customHeight="1">
      <c r="A2" s="2" t="inlineStr">
        <is>
          <t>Academic Year: 2025–2026  |  Class: Grade 10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GRADE 10 EXAMINATION MARK SHEET</t>
        </is>
      </c>
    </row>
    <row r="2" ht="22" customHeight="1">
      <c r="A2" s="2" t="inlineStr">
        <is>
          <t>Academic Year: 2025–2026  |  Class: Grade 10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GRADE 11 EXAMINATION MARK SHEET</t>
        </is>
      </c>
    </row>
    <row r="2" ht="22" customHeight="1">
      <c r="A2" s="2" t="inlineStr">
        <is>
          <t>Academic Year: 2025–2026  |  Class: Grade 11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GRADE 11 EXAMINATION MARK SHEET</t>
        </is>
      </c>
    </row>
    <row r="2" ht="22" customHeight="1">
      <c r="A2" s="2" t="inlineStr">
        <is>
          <t>Academic Year: 2025–2026  |  Class: Grade 11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GRADE 12 EXAMINATION MARK SHEET</t>
        </is>
      </c>
    </row>
    <row r="2" ht="22" customHeight="1">
      <c r="A2" s="2" t="inlineStr">
        <is>
          <t>Academic Year: 2025–2026  |  Class: Grade 12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GRADE 12 EXAMINATION MARK SHEET</t>
        </is>
      </c>
    </row>
    <row r="2" ht="22" customHeight="1">
      <c r="A2" s="2" t="inlineStr">
        <is>
          <t>Academic Year: 2025–2026  |  Class: Grade 12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GRADE 9 EXAMINATION MARK SHEET</t>
        </is>
      </c>
    </row>
    <row r="2" ht="22" customHeight="1">
      <c r="A2" s="2" t="inlineStr">
        <is>
          <t>Academic Year: 2025–2026  |  Class: Grade 9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T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GRADE 9 EXAMINATION MARK SHEET</t>
        </is>
      </c>
    </row>
    <row r="2" ht="22" customHeight="1">
      <c r="A2" s="2" t="inlineStr">
        <is>
          <t>Academic Year: 2025–2026  |  Class: Grade 9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8">
        <f>IF(COUNTA(C6:C20)&gt;0, ROUND(AVERAGE(X6:X20), 1), "-")</f>
        <v/>
      </c>
      <c r="W23" s="27" t="n"/>
      <c r="X23" s="27" t="n"/>
      <c r="Y23" s="28">
        <f>IF(COUNTA(C6:C20)&gt;0, ROUND(AVERAGE(AA6:AA20), 1), "-")</f>
        <v/>
      </c>
      <c r="Z23" s="27" t="n"/>
      <c r="AA23" s="27" t="n"/>
      <c r="AB23" s="28">
        <f>IF(COUNTA(C6:C20)&gt;0, ROUND(AVERAGE(AD6:AD20), 1), "-")</f>
        <v/>
      </c>
      <c r="AC23" s="27" t="n"/>
      <c r="AD23" s="27" t="n"/>
      <c r="AE23" s="28">
        <f>IF(COUNTA(C6:C20)&gt;0, ROUND(AVERAGE(AG6:AG20), 1), "-")</f>
        <v/>
      </c>
      <c r="AF23" s="27" t="n"/>
      <c r="AG23" s="27" t="n"/>
      <c r="AH23" s="28">
        <f>IF(COUNTA(C6:C20)&gt;0, ROUND(AVERAGE(AJ6:AJ20), 1), "-")</f>
        <v/>
      </c>
      <c r="AI23" s="27" t="n"/>
      <c r="AJ23" s="27" t="n"/>
      <c r="AK23" s="28">
        <f>IF(COUNTA(C6:C20)&gt;0, ROUND(AVERAGE(AM6:AM20), 1), "-")</f>
        <v/>
      </c>
      <c r="AL23" s="27" t="n"/>
      <c r="AM23" s="27" t="n"/>
      <c r="AN23" s="28">
        <f>IF(COUNTA(C6:C20)&gt;0, ROUND(AVERAGE(AP6:AP20), 1), "-")</f>
        <v/>
      </c>
      <c r="AO23" s="27" t="n"/>
      <c r="AP23" s="27" t="n"/>
      <c r="AQ23" s="28">
        <f>IF(COUNTA(C6:C20)&gt;0, ROUND(AVERAGE(AS6:AS20), 1), "-")</f>
        <v/>
      </c>
      <c r="AR23" s="27" t="n"/>
      <c r="AS23" s="27" t="n"/>
      <c r="AT23" s="28">
        <f>IF(COUNTA(C6:C20)&gt;0, ROUND(AVERAGE(AV6:AV20), 1), "-")</f>
        <v/>
      </c>
      <c r="AU23" s="27" t="n"/>
      <c r="AV23" s="27" t="n"/>
      <c r="AW23" s="28">
        <f>IF(COUNTA(C6:C20)&gt;0, ROUND(AVERAGE(AY6:AY20), 1), "-")</f>
        <v/>
      </c>
      <c r="AX23" s="27" t="n"/>
      <c r="AY23" s="27" t="n"/>
      <c r="AZ23" s="28">
        <f>IF(COUNTA(C6:C20)&gt;0, ROUND(AVERAGE(BB6:BB20), 1), "-")</f>
        <v/>
      </c>
      <c r="BA23" s="27" t="n"/>
      <c r="BB23" s="27" t="n"/>
      <c r="BC23" s="28">
        <f>IF(COUNTA(C6:C20)&gt;0, ROUND(AVERAGE(BE6:BE20), 1), "-")</f>
        <v/>
      </c>
      <c r="BD23" s="27" t="n"/>
      <c r="BE23" s="27" t="n"/>
      <c r="BF23" s="28">
        <f>IF(COUNTA(C6:C20)&gt;0, ROUND(AVERAGE(BH6:BH20), 1), "-")</f>
        <v/>
      </c>
      <c r="BG23" s="27" t="n"/>
      <c r="BH23" s="27" t="n"/>
      <c r="BI23" s="28">
        <f>IF(COUNTA(C6:C20)&gt;0, ROUND(AVERAGE(BK6:BK20), 1), "-")</f>
        <v/>
      </c>
      <c r="BJ23" s="27" t="n"/>
      <c r="BK23" s="27" t="n"/>
      <c r="BL23" s="28">
        <f>IF(COUNTA(C6:C20)&gt;0, ROUND(AVERAGE(BN6:BN20), 1), "-")</f>
        <v/>
      </c>
      <c r="BM23" s="27" t="n"/>
      <c r="BN23" s="27" t="n"/>
      <c r="BO23" s="28">
        <f>IF(COUNTA(C6:C20)&gt;0, ROUND(AVERAGE(BQ6:BQ20), 1), "-")</f>
        <v/>
      </c>
      <c r="BP23" s="27" t="n"/>
      <c r="BQ23" s="27" t="n"/>
      <c r="BR23" s="28">
        <f>IF(COUNTA(C6:C20)&gt;0, ROUND(AVERAGE(BT6:BT20), 1), "-")</f>
        <v/>
      </c>
      <c r="BS23" s="27" t="n"/>
      <c r="BT23" s="27" t="n"/>
      <c r="BU23" s="28">
        <f>IF(COUNTA(C6:C20)&gt;0, ROUND(AVERAGE(BW6:BW20), 1), "-")</f>
        <v/>
      </c>
      <c r="BV23" s="27" t="n"/>
      <c r="BW23" s="27" t="n"/>
      <c r="BX23" s="28">
        <f>IF(COUNTA(C6:C20)&gt;0, ROUND(AVERAGE(BZ6:BZ20), 1), "-")</f>
        <v/>
      </c>
      <c r="BY23" s="27" t="n"/>
      <c r="BZ23" s="27" t="n"/>
      <c r="CA23" s="28">
        <f>IF(COUNTA(C6:C20)&gt;0, ROUND(AVERAGE(CC6:CC20), 1), "-")</f>
        <v/>
      </c>
      <c r="CB23" s="27" t="n"/>
      <c r="CC23" s="27" t="n"/>
      <c r="CD23" s="28">
        <f>IF(COUNTA(C6:C20)&gt;0, ROUND(AVERAGE(CF6:CF20), 1), "-")</f>
        <v/>
      </c>
      <c r="CE23" s="27" t="n"/>
      <c r="CF23" s="27" t="n"/>
      <c r="CG23" s="28">
        <f>IF(COUNTA(C6:C20)&gt;0, ROUND(AVERAGE(CI6:CI20), 1), "-")</f>
        <v/>
      </c>
      <c r="CH23" s="27" t="n"/>
      <c r="CI23" s="27" t="n"/>
      <c r="CJ23" s="28">
        <f>IF(COUNTA(C6:C20)&gt;0, ROUND(AVERAGE(CL6:CL20), 1), "-")</f>
        <v/>
      </c>
      <c r="CK23" s="27" t="n"/>
      <c r="CL23" s="27" t="n"/>
      <c r="CM23" s="28">
        <f>IF(COUNTA(C6:C20)&gt;0, ROUND(AVERAGE(CO6:CO20), 1), "-")</f>
        <v/>
      </c>
      <c r="CN23" s="27" t="n"/>
      <c r="CO23" s="27" t="n"/>
      <c r="CP23" s="29">
        <f>IF(COUNTA(C6:C20)&gt;0, ROUND(AVERAGE(CP6:CP20), 1), "-")</f>
        <v/>
      </c>
      <c r="CQ23" s="30">
        <f>IF(COUNTA(C6:C20)&gt;0, ROUND(AVERAGE(CQ6:CQ20), 1), "-")</f>
        <v/>
      </c>
      <c r="CR23" s="27" t="n"/>
      <c r="CS23" s="27" t="n"/>
      <c r="CT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1">
        <f>IF(COUNTA(C6:C20)&gt;0, MAX(X6:X20), "-")</f>
        <v/>
      </c>
      <c r="W24" s="27" t="n"/>
      <c r="X24" s="27" t="n"/>
      <c r="Y24" s="31">
        <f>IF(COUNTA(C6:C20)&gt;0, MAX(AA6:AA20), "-")</f>
        <v/>
      </c>
      <c r="Z24" s="27" t="n"/>
      <c r="AA24" s="27" t="n"/>
      <c r="AB24" s="31">
        <f>IF(COUNTA(C6:C20)&gt;0, MAX(AD6:AD20), "-")</f>
        <v/>
      </c>
      <c r="AC24" s="27" t="n"/>
      <c r="AD24" s="27" t="n"/>
      <c r="AE24" s="31">
        <f>IF(COUNTA(C6:C20)&gt;0, MAX(AG6:AG20), "-")</f>
        <v/>
      </c>
      <c r="AF24" s="27" t="n"/>
      <c r="AG24" s="27" t="n"/>
      <c r="AH24" s="31">
        <f>IF(COUNTA(C6:C20)&gt;0, MAX(AJ6:AJ20), "-")</f>
        <v/>
      </c>
      <c r="AI24" s="27" t="n"/>
      <c r="AJ24" s="27" t="n"/>
      <c r="AK24" s="31">
        <f>IF(COUNTA(C6:C20)&gt;0, MAX(AM6:AM20), "-")</f>
        <v/>
      </c>
      <c r="AL24" s="27" t="n"/>
      <c r="AM24" s="27" t="n"/>
      <c r="AN24" s="31">
        <f>IF(COUNTA(C6:C20)&gt;0, MAX(AP6:AP20), "-")</f>
        <v/>
      </c>
      <c r="AO24" s="27" t="n"/>
      <c r="AP24" s="27" t="n"/>
      <c r="AQ24" s="31">
        <f>IF(COUNTA(C6:C20)&gt;0, MAX(AS6:AS20), "-")</f>
        <v/>
      </c>
      <c r="AR24" s="27" t="n"/>
      <c r="AS24" s="27" t="n"/>
      <c r="AT24" s="31">
        <f>IF(COUNTA(C6:C20)&gt;0, MAX(AV6:AV20), "-")</f>
        <v/>
      </c>
      <c r="AU24" s="27" t="n"/>
      <c r="AV24" s="27" t="n"/>
      <c r="AW24" s="31">
        <f>IF(COUNTA(C6:C20)&gt;0, MAX(AY6:AY20), "-")</f>
        <v/>
      </c>
      <c r="AX24" s="27" t="n"/>
      <c r="AY24" s="27" t="n"/>
      <c r="AZ24" s="31">
        <f>IF(COUNTA(C6:C20)&gt;0, MAX(BB6:BB20), "-")</f>
        <v/>
      </c>
      <c r="BA24" s="27" t="n"/>
      <c r="BB24" s="27" t="n"/>
      <c r="BC24" s="31">
        <f>IF(COUNTA(C6:C20)&gt;0, MAX(BE6:BE20), "-")</f>
        <v/>
      </c>
      <c r="BD24" s="27" t="n"/>
      <c r="BE24" s="27" t="n"/>
      <c r="BF24" s="31">
        <f>IF(COUNTA(C6:C20)&gt;0, MAX(BH6:BH20), "-")</f>
        <v/>
      </c>
      <c r="BG24" s="27" t="n"/>
      <c r="BH24" s="27" t="n"/>
      <c r="BI24" s="31">
        <f>IF(COUNTA(C6:C20)&gt;0, MAX(BK6:BK20), "-")</f>
        <v/>
      </c>
      <c r="BJ24" s="27" t="n"/>
      <c r="BK24" s="27" t="n"/>
      <c r="BL24" s="31">
        <f>IF(COUNTA(C6:C20)&gt;0, MAX(BN6:BN20), "-")</f>
        <v/>
      </c>
      <c r="BM24" s="27" t="n"/>
      <c r="BN24" s="27" t="n"/>
      <c r="BO24" s="31">
        <f>IF(COUNTA(C6:C20)&gt;0, MAX(BQ6:BQ20), "-")</f>
        <v/>
      </c>
      <c r="BP24" s="27" t="n"/>
      <c r="BQ24" s="27" t="n"/>
      <c r="BR24" s="31">
        <f>IF(COUNTA(C6:C20)&gt;0, MAX(BT6:BT20), "-")</f>
        <v/>
      </c>
      <c r="BS24" s="27" t="n"/>
      <c r="BT24" s="27" t="n"/>
      <c r="BU24" s="31">
        <f>IF(COUNTA(C6:C20)&gt;0, MAX(BW6:BW20), "-")</f>
        <v/>
      </c>
      <c r="BV24" s="27" t="n"/>
      <c r="BW24" s="27" t="n"/>
      <c r="BX24" s="31">
        <f>IF(COUNTA(C6:C20)&gt;0, MAX(BZ6:BZ20), "-")</f>
        <v/>
      </c>
      <c r="BY24" s="27" t="n"/>
      <c r="BZ24" s="27" t="n"/>
      <c r="CA24" s="31">
        <f>IF(COUNTA(C6:C20)&gt;0, MAX(CC6:CC20), "-")</f>
        <v/>
      </c>
      <c r="CB24" s="27" t="n"/>
      <c r="CC24" s="27" t="n"/>
      <c r="CD24" s="31">
        <f>IF(COUNTA(C6:C20)&gt;0, MAX(CF6:CF20), "-")</f>
        <v/>
      </c>
      <c r="CE24" s="27" t="n"/>
      <c r="CF24" s="27" t="n"/>
      <c r="CG24" s="31">
        <f>IF(COUNTA(C6:C20)&gt;0, MAX(CI6:CI20), "-")</f>
        <v/>
      </c>
      <c r="CH24" s="27" t="n"/>
      <c r="CI24" s="27" t="n"/>
      <c r="CJ24" s="31">
        <f>IF(COUNTA(C6:C20)&gt;0, MAX(CL6:CL20), "-")</f>
        <v/>
      </c>
      <c r="CK24" s="27" t="n"/>
      <c r="CL24" s="27" t="n"/>
      <c r="CM24" s="31">
        <f>IF(COUNTA(C6:C20)&gt;0, MAX(CO6:CO20), "-")</f>
        <v/>
      </c>
      <c r="CN24" s="27" t="n"/>
      <c r="CO24" s="27" t="n"/>
      <c r="CP24" s="32">
        <f>IF(COUNTA(C6:C20)&gt;0, MAX(CP6:CP20), "-")</f>
        <v/>
      </c>
      <c r="CQ24" s="30">
        <f>IF(COUNTA(C6:C20)&gt;0, MAX(CQ6:CQ20), "-")</f>
        <v/>
      </c>
      <c r="CR24" s="27" t="n"/>
      <c r="CS24" s="27" t="n"/>
      <c r="CT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1">
        <f>IF(COUNTA(C6:C20)&gt;0, MIN(X6:X20), "-")</f>
        <v/>
      </c>
      <c r="W25" s="27" t="n"/>
      <c r="X25" s="27" t="n"/>
      <c r="Y25" s="31">
        <f>IF(COUNTA(C6:C20)&gt;0, MIN(AA6:AA20), "-")</f>
        <v/>
      </c>
      <c r="Z25" s="27" t="n"/>
      <c r="AA25" s="27" t="n"/>
      <c r="AB25" s="31">
        <f>IF(COUNTA(C6:C20)&gt;0, MIN(AD6:AD20), "-")</f>
        <v/>
      </c>
      <c r="AC25" s="27" t="n"/>
      <c r="AD25" s="27" t="n"/>
      <c r="AE25" s="31">
        <f>IF(COUNTA(C6:C20)&gt;0, MIN(AG6:AG20), "-")</f>
        <v/>
      </c>
      <c r="AF25" s="27" t="n"/>
      <c r="AG25" s="27" t="n"/>
      <c r="AH25" s="31">
        <f>IF(COUNTA(C6:C20)&gt;0, MIN(AJ6:AJ20), "-")</f>
        <v/>
      </c>
      <c r="AI25" s="27" t="n"/>
      <c r="AJ25" s="27" t="n"/>
      <c r="AK25" s="31">
        <f>IF(COUNTA(C6:C20)&gt;0, MIN(AM6:AM20), "-")</f>
        <v/>
      </c>
      <c r="AL25" s="27" t="n"/>
      <c r="AM25" s="27" t="n"/>
      <c r="AN25" s="31">
        <f>IF(COUNTA(C6:C20)&gt;0, MIN(AP6:AP20), "-")</f>
        <v/>
      </c>
      <c r="AO25" s="27" t="n"/>
      <c r="AP25" s="27" t="n"/>
      <c r="AQ25" s="31">
        <f>IF(COUNTA(C6:C20)&gt;0, MIN(AS6:AS20), "-")</f>
        <v/>
      </c>
      <c r="AR25" s="27" t="n"/>
      <c r="AS25" s="27" t="n"/>
      <c r="AT25" s="31">
        <f>IF(COUNTA(C6:C20)&gt;0, MIN(AV6:AV20), "-")</f>
        <v/>
      </c>
      <c r="AU25" s="27" t="n"/>
      <c r="AV25" s="27" t="n"/>
      <c r="AW25" s="31">
        <f>IF(COUNTA(C6:C20)&gt;0, MIN(AY6:AY20), "-")</f>
        <v/>
      </c>
      <c r="AX25" s="27" t="n"/>
      <c r="AY25" s="27" t="n"/>
      <c r="AZ25" s="31">
        <f>IF(COUNTA(C6:C20)&gt;0, MIN(BB6:BB20), "-")</f>
        <v/>
      </c>
      <c r="BA25" s="27" t="n"/>
      <c r="BB25" s="27" t="n"/>
      <c r="BC25" s="31">
        <f>IF(COUNTA(C6:C20)&gt;0, MIN(BE6:BE20), "-")</f>
        <v/>
      </c>
      <c r="BD25" s="27" t="n"/>
      <c r="BE25" s="27" t="n"/>
      <c r="BF25" s="31">
        <f>IF(COUNTA(C6:C20)&gt;0, MIN(BH6:BH20), "-")</f>
        <v/>
      </c>
      <c r="BG25" s="27" t="n"/>
      <c r="BH25" s="27" t="n"/>
      <c r="BI25" s="31">
        <f>IF(COUNTA(C6:C20)&gt;0, MIN(BK6:BK20), "-")</f>
        <v/>
      </c>
      <c r="BJ25" s="27" t="n"/>
      <c r="BK25" s="27" t="n"/>
      <c r="BL25" s="31">
        <f>IF(COUNTA(C6:C20)&gt;0, MIN(BN6:BN20), "-")</f>
        <v/>
      </c>
      <c r="BM25" s="27" t="n"/>
      <c r="BN25" s="27" t="n"/>
      <c r="BO25" s="31">
        <f>IF(COUNTA(C6:C20)&gt;0, MIN(BQ6:BQ20), "-")</f>
        <v/>
      </c>
      <c r="BP25" s="27" t="n"/>
      <c r="BQ25" s="27" t="n"/>
      <c r="BR25" s="31">
        <f>IF(COUNTA(C6:C20)&gt;0, MIN(BT6:BT20), "-")</f>
        <v/>
      </c>
      <c r="BS25" s="27" t="n"/>
      <c r="BT25" s="27" t="n"/>
      <c r="BU25" s="31">
        <f>IF(COUNTA(C6:C20)&gt;0, MIN(BW6:BW20), "-")</f>
        <v/>
      </c>
      <c r="BV25" s="27" t="n"/>
      <c r="BW25" s="27" t="n"/>
      <c r="BX25" s="31">
        <f>IF(COUNTA(C6:C20)&gt;0, MIN(BZ6:BZ20), "-")</f>
        <v/>
      </c>
      <c r="BY25" s="27" t="n"/>
      <c r="BZ25" s="27" t="n"/>
      <c r="CA25" s="31">
        <f>IF(COUNTA(C6:C20)&gt;0, MIN(CC6:CC20), "-")</f>
        <v/>
      </c>
      <c r="CB25" s="27" t="n"/>
      <c r="CC25" s="27" t="n"/>
      <c r="CD25" s="31">
        <f>IF(COUNTA(C6:C20)&gt;0, MIN(CF6:CF20), "-")</f>
        <v/>
      </c>
      <c r="CE25" s="27" t="n"/>
      <c r="CF25" s="27" t="n"/>
      <c r="CG25" s="31">
        <f>IF(COUNTA(C6:C20)&gt;0, MIN(CI6:CI20), "-")</f>
        <v/>
      </c>
      <c r="CH25" s="27" t="n"/>
      <c r="CI25" s="27" t="n"/>
      <c r="CJ25" s="31">
        <f>IF(COUNTA(C6:C20)&gt;0, MIN(CL6:CL20), "-")</f>
        <v/>
      </c>
      <c r="CK25" s="27" t="n"/>
      <c r="CL25" s="27" t="n"/>
      <c r="CM25" s="31">
        <f>IF(COUNTA(C6:C20)&gt;0, MIN(CO6:CO20), "-")</f>
        <v/>
      </c>
      <c r="CN25" s="27" t="n"/>
      <c r="CO25" s="27" t="n"/>
      <c r="CP25" s="32">
        <f>IF(COUNTA(C6:C20)&gt;0, MIN(CP6:CP20), "-")</f>
        <v/>
      </c>
      <c r="CQ25" s="30">
        <f>IF(COUNTA(C6:C20)&gt;0, MIN(CQ6:CQ20), "-")</f>
        <v/>
      </c>
      <c r="CR25" s="27" t="n"/>
      <c r="CS25" s="27" t="n"/>
      <c r="CT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1">
        <f>COUNTIF(X6:X20, "&gt;=35")</f>
        <v/>
      </c>
      <c r="W26" s="27" t="n"/>
      <c r="X26" s="27" t="n"/>
      <c r="Y26" s="31">
        <f>COUNTIF(AA6:AA20, "&gt;=35")</f>
        <v/>
      </c>
      <c r="Z26" s="27" t="n"/>
      <c r="AA26" s="27" t="n"/>
      <c r="AB26" s="31">
        <f>COUNTIF(AD6:AD20, "&gt;=35")</f>
        <v/>
      </c>
      <c r="AC26" s="27" t="n"/>
      <c r="AD26" s="27" t="n"/>
      <c r="AE26" s="31">
        <f>COUNTIF(AG6:AG20, "&gt;=35")</f>
        <v/>
      </c>
      <c r="AF26" s="27" t="n"/>
      <c r="AG26" s="27" t="n"/>
      <c r="AH26" s="31">
        <f>COUNTIF(AJ6:AJ20, "&gt;=35")</f>
        <v/>
      </c>
      <c r="AI26" s="27" t="n"/>
      <c r="AJ26" s="27" t="n"/>
      <c r="AK26" s="31">
        <f>COUNTIF(AM6:AM20, "&gt;=35")</f>
        <v/>
      </c>
      <c r="AL26" s="27" t="n"/>
      <c r="AM26" s="27" t="n"/>
      <c r="AN26" s="31">
        <f>COUNTIF(AP6:AP20, "&gt;=35")</f>
        <v/>
      </c>
      <c r="AO26" s="27" t="n"/>
      <c r="AP26" s="27" t="n"/>
      <c r="AQ26" s="31">
        <f>COUNTIF(AS6:AS20, "&gt;=35")</f>
        <v/>
      </c>
      <c r="AR26" s="27" t="n"/>
      <c r="AS26" s="27" t="n"/>
      <c r="AT26" s="31">
        <f>COUNTIF(AV6:AV20, "&gt;=35")</f>
        <v/>
      </c>
      <c r="AU26" s="27" t="n"/>
      <c r="AV26" s="27" t="n"/>
      <c r="AW26" s="31">
        <f>COUNTIF(AY6:AY20, "&gt;=35")</f>
        <v/>
      </c>
      <c r="AX26" s="27" t="n"/>
      <c r="AY26" s="27" t="n"/>
      <c r="AZ26" s="31">
        <f>COUNTIF(BB6:BB20, "&gt;=35")</f>
        <v/>
      </c>
      <c r="BA26" s="27" t="n"/>
      <c r="BB26" s="27" t="n"/>
      <c r="BC26" s="31">
        <f>COUNTIF(BE6:BE20, "&gt;=35")</f>
        <v/>
      </c>
      <c r="BD26" s="27" t="n"/>
      <c r="BE26" s="27" t="n"/>
      <c r="BF26" s="31">
        <f>COUNTIF(BH6:BH20, "&gt;=35")</f>
        <v/>
      </c>
      <c r="BG26" s="27" t="n"/>
      <c r="BH26" s="27" t="n"/>
      <c r="BI26" s="31">
        <f>COUNTIF(BK6:BK20, "&gt;=35")</f>
        <v/>
      </c>
      <c r="BJ26" s="27" t="n"/>
      <c r="BK26" s="27" t="n"/>
      <c r="BL26" s="31">
        <f>COUNTIF(BN6:BN20, "&gt;=35")</f>
        <v/>
      </c>
      <c r="BM26" s="27" t="n"/>
      <c r="BN26" s="27" t="n"/>
      <c r="BO26" s="31">
        <f>COUNTIF(BQ6:BQ20, "&gt;=35")</f>
        <v/>
      </c>
      <c r="BP26" s="27" t="n"/>
      <c r="BQ26" s="27" t="n"/>
      <c r="BR26" s="31">
        <f>COUNTIF(BT6:BT20, "&gt;=35")</f>
        <v/>
      </c>
      <c r="BS26" s="27" t="n"/>
      <c r="BT26" s="27" t="n"/>
      <c r="BU26" s="31">
        <f>COUNTIF(BW6:BW20, "&gt;=35")</f>
        <v/>
      </c>
      <c r="BV26" s="27" t="n"/>
      <c r="BW26" s="27" t="n"/>
      <c r="BX26" s="31">
        <f>COUNTIF(BZ6:BZ20, "&gt;=35")</f>
        <v/>
      </c>
      <c r="BY26" s="27" t="n"/>
      <c r="BZ26" s="27" t="n"/>
      <c r="CA26" s="31">
        <f>COUNTIF(CC6:CC20, "&gt;=35")</f>
        <v/>
      </c>
      <c r="CB26" s="27" t="n"/>
      <c r="CC26" s="27" t="n"/>
      <c r="CD26" s="31">
        <f>COUNTIF(CF6:CF20, "&gt;=35")</f>
        <v/>
      </c>
      <c r="CE26" s="27" t="n"/>
      <c r="CF26" s="27" t="n"/>
      <c r="CG26" s="31">
        <f>COUNTIF(CI6:CI20, "&gt;=35")</f>
        <v/>
      </c>
      <c r="CH26" s="27" t="n"/>
      <c r="CI26" s="27" t="n"/>
      <c r="CJ26" s="31">
        <f>COUNTIF(CL6:CL20, "&gt;=35")</f>
        <v/>
      </c>
      <c r="CK26" s="27" t="n"/>
      <c r="CL26" s="27" t="n"/>
      <c r="CM26" s="31">
        <f>COUNTIF(CO6:CO20, "&gt;=35")</f>
        <v/>
      </c>
      <c r="CN26" s="27" t="n"/>
      <c r="CO26" s="27" t="n"/>
      <c r="CP26" s="32">
        <f>COUNTIF(CR6:CR20, "PASS")</f>
        <v/>
      </c>
      <c r="CQ26" s="31" t="n"/>
      <c r="CR26" s="27" t="n"/>
      <c r="CS26" s="27" t="n"/>
      <c r="CT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0">
        <f>IF(COUNTA(C6:C20)&gt;0, ROUND((V26/COUNTA(C6:C20))*100, 1), "-")</f>
        <v/>
      </c>
      <c r="W27" s="27" t="n"/>
      <c r="X27" s="27" t="n"/>
      <c r="Y27" s="30">
        <f>IF(COUNTA(C6:C20)&gt;0, ROUND((Y26/COUNTA(C6:C20))*100, 1), "-")</f>
        <v/>
      </c>
      <c r="Z27" s="27" t="n"/>
      <c r="AA27" s="27" t="n"/>
      <c r="AB27" s="30">
        <f>IF(COUNTA(C6:C20)&gt;0, ROUND((AB26/COUNTA(C6:C20))*100, 1), "-")</f>
        <v/>
      </c>
      <c r="AC27" s="27" t="n"/>
      <c r="AD27" s="27" t="n"/>
      <c r="AE27" s="30">
        <f>IF(COUNTA(C6:C20)&gt;0, ROUND((AE26/COUNTA(C6:C20))*100, 1), "-")</f>
        <v/>
      </c>
      <c r="AF27" s="27" t="n"/>
      <c r="AG27" s="27" t="n"/>
      <c r="AH27" s="30">
        <f>IF(COUNTA(C6:C20)&gt;0, ROUND((AH26/COUNTA(C6:C20))*100, 1), "-")</f>
        <v/>
      </c>
      <c r="AI27" s="27" t="n"/>
      <c r="AJ27" s="27" t="n"/>
      <c r="AK27" s="30">
        <f>IF(COUNTA(C6:C20)&gt;0, ROUND((AK26/COUNTA(C6:C20))*100, 1), "-")</f>
        <v/>
      </c>
      <c r="AL27" s="27" t="n"/>
      <c r="AM27" s="27" t="n"/>
      <c r="AN27" s="30">
        <f>IF(COUNTA(C6:C20)&gt;0, ROUND((AN26/COUNTA(C6:C20))*100, 1), "-")</f>
        <v/>
      </c>
      <c r="AO27" s="27" t="n"/>
      <c r="AP27" s="27" t="n"/>
      <c r="AQ27" s="30">
        <f>IF(COUNTA(C6:C20)&gt;0, ROUND((AQ26/COUNTA(C6:C20))*100, 1), "-")</f>
        <v/>
      </c>
      <c r="AR27" s="27" t="n"/>
      <c r="AS27" s="27" t="n"/>
      <c r="AT27" s="30">
        <f>IF(COUNTA(C6:C20)&gt;0, ROUND((AT26/COUNTA(C6:C20))*100, 1), "-")</f>
        <v/>
      </c>
      <c r="AU27" s="27" t="n"/>
      <c r="AV27" s="27" t="n"/>
      <c r="AW27" s="30">
        <f>IF(COUNTA(C6:C20)&gt;0, ROUND((AW26/COUNTA(C6:C20))*100, 1), "-")</f>
        <v/>
      </c>
      <c r="AX27" s="27" t="n"/>
      <c r="AY27" s="27" t="n"/>
      <c r="AZ27" s="30">
        <f>IF(COUNTA(C6:C20)&gt;0, ROUND((AZ26/COUNTA(C6:C20))*100, 1), "-")</f>
        <v/>
      </c>
      <c r="BA27" s="27" t="n"/>
      <c r="BB27" s="27" t="n"/>
      <c r="BC27" s="30">
        <f>IF(COUNTA(C6:C20)&gt;0, ROUND((BC26/COUNTA(C6:C20))*100, 1), "-")</f>
        <v/>
      </c>
      <c r="BD27" s="27" t="n"/>
      <c r="BE27" s="27" t="n"/>
      <c r="BF27" s="30">
        <f>IF(COUNTA(C6:C20)&gt;0, ROUND((BF26/COUNTA(C6:C20))*100, 1), "-")</f>
        <v/>
      </c>
      <c r="BG27" s="27" t="n"/>
      <c r="BH27" s="27" t="n"/>
      <c r="BI27" s="30">
        <f>IF(COUNTA(C6:C20)&gt;0, ROUND((BI26/COUNTA(C6:C20))*100, 1), "-")</f>
        <v/>
      </c>
      <c r="BJ27" s="27" t="n"/>
      <c r="BK27" s="27" t="n"/>
      <c r="BL27" s="30">
        <f>IF(COUNTA(C6:C20)&gt;0, ROUND((BL26/COUNTA(C6:C20))*100, 1), "-")</f>
        <v/>
      </c>
      <c r="BM27" s="27" t="n"/>
      <c r="BN27" s="27" t="n"/>
      <c r="BO27" s="30">
        <f>IF(COUNTA(C6:C20)&gt;0, ROUND((BO26/COUNTA(C6:C20))*100, 1), "-")</f>
        <v/>
      </c>
      <c r="BP27" s="27" t="n"/>
      <c r="BQ27" s="27" t="n"/>
      <c r="BR27" s="30">
        <f>IF(COUNTA(C6:C20)&gt;0, ROUND((BR26/COUNTA(C6:C20))*100, 1), "-")</f>
        <v/>
      </c>
      <c r="BS27" s="27" t="n"/>
      <c r="BT27" s="27" t="n"/>
      <c r="BU27" s="30">
        <f>IF(COUNTA(C6:C20)&gt;0, ROUND((BU26/COUNTA(C6:C20))*100, 1), "-")</f>
        <v/>
      </c>
      <c r="BV27" s="27" t="n"/>
      <c r="BW27" s="27" t="n"/>
      <c r="BX27" s="30">
        <f>IF(COUNTA(C6:C20)&gt;0, ROUND((BX26/COUNTA(C6:C20))*100, 1), "-")</f>
        <v/>
      </c>
      <c r="BY27" s="27" t="n"/>
      <c r="BZ27" s="27" t="n"/>
      <c r="CA27" s="30">
        <f>IF(COUNTA(C6:C20)&gt;0, ROUND((CA26/COUNTA(C6:C20))*100, 1), "-")</f>
        <v/>
      </c>
      <c r="CB27" s="27" t="n"/>
      <c r="CC27" s="27" t="n"/>
      <c r="CD27" s="30">
        <f>IF(COUNTA(C6:C20)&gt;0, ROUND((CD26/COUNTA(C6:C20))*100, 1), "-")</f>
        <v/>
      </c>
      <c r="CE27" s="27" t="n"/>
      <c r="CF27" s="27" t="n"/>
      <c r="CG27" s="30">
        <f>IF(COUNTA(C6:C20)&gt;0, ROUND((CG26/COUNTA(C6:C20))*100, 1), "-")</f>
        <v/>
      </c>
      <c r="CH27" s="27" t="n"/>
      <c r="CI27" s="27" t="n"/>
      <c r="CJ27" s="30">
        <f>IF(COUNTA(C6:C20)&gt;0, ROUND((CJ26/COUNTA(C6:C20))*100, 1), "-")</f>
        <v/>
      </c>
      <c r="CK27" s="27" t="n"/>
      <c r="CL27" s="27" t="n"/>
      <c r="CM27" s="30">
        <f>IF(COUNTA(C6:C20)&gt;0, ROUND((CM26/COUNTA(C6:C20))*100, 1), "-")</f>
        <v/>
      </c>
      <c r="CN27" s="27" t="n"/>
      <c r="CO27" s="27" t="n"/>
      <c r="CP27" s="33">
        <f>IF(COUNTA(C6:C20)&gt;0, ROUND((CP26/COUNTA(C6:C20))*100, 1), "-")</f>
        <v/>
      </c>
      <c r="CQ27" s="31" t="n"/>
      <c r="CR27" s="27" t="n"/>
      <c r="CS27" s="27" t="n"/>
      <c r="CT27" s="27" t="n"/>
    </row>
  </sheetData>
  <mergeCells count="195">
    <mergeCell ref="AB25:AD25"/>
    <mergeCell ref="V24:X24"/>
    <mergeCell ref="CJ26:CL26"/>
    <mergeCell ref="BF24:BH24"/>
    <mergeCell ref="S23:U23"/>
    <mergeCell ref="AN25:AP25"/>
    <mergeCell ref="P27:R27"/>
    <mergeCell ref="A2:CT2"/>
    <mergeCell ref="J27:L27"/>
    <mergeCell ref="AB27:AD27"/>
    <mergeCell ref="AE23:AG23"/>
    <mergeCell ref="BL27:BN27"/>
    <mergeCell ref="Y26:AA26"/>
    <mergeCell ref="CD27:CF27"/>
    <mergeCell ref="CG23:CI23"/>
    <mergeCell ref="A26:C26"/>
    <mergeCell ref="BX26:BZ26"/>
    <mergeCell ref="G24:I24"/>
    <mergeCell ref="BF23:BH23"/>
    <mergeCell ref="J25:L25"/>
    <mergeCell ref="BI24:BK24"/>
    <mergeCell ref="BL25:BN25"/>
    <mergeCell ref="A23:C23"/>
    <mergeCell ref="S24:U24"/>
    <mergeCell ref="AH27:AJ27"/>
    <mergeCell ref="BF25:BH25"/>
    <mergeCell ref="BC23:BE23"/>
    <mergeCell ref="BU24:BW24"/>
    <mergeCell ref="CJ27:CL27"/>
    <mergeCell ref="G26:I26"/>
    <mergeCell ref="BO23:BQ23"/>
    <mergeCell ref="M24:O24"/>
    <mergeCell ref="BI26:BK26"/>
    <mergeCell ref="AE24:AG24"/>
    <mergeCell ref="BU26:BW26"/>
    <mergeCell ref="AQ24:AS24"/>
    <mergeCell ref="D23:F23"/>
    <mergeCell ref="CA24:CC24"/>
    <mergeCell ref="CD25:CF25"/>
    <mergeCell ref="AK27:AM27"/>
    <mergeCell ref="AE26:AG26"/>
    <mergeCell ref="AW27:AY27"/>
    <mergeCell ref="CG26:CI26"/>
    <mergeCell ref="P4:R4"/>
    <mergeCell ref="S25:U25"/>
    <mergeCell ref="CJ25:CL25"/>
    <mergeCell ref="AQ26:AS26"/>
    <mergeCell ref="CA26:CC26"/>
    <mergeCell ref="AB24:AD24"/>
    <mergeCell ref="CA23:CC23"/>
    <mergeCell ref="AE25:AG25"/>
    <mergeCell ref="CG25:CI25"/>
    <mergeCell ref="S27:U27"/>
    <mergeCell ref="V23:X23"/>
    <mergeCell ref="AQ25:AS25"/>
    <mergeCell ref="BC27:BE27"/>
    <mergeCell ref="BU27:BW27"/>
    <mergeCell ref="BX23:BZ23"/>
    <mergeCell ref="V4:X4"/>
    <mergeCell ref="AH23:AJ23"/>
    <mergeCell ref="BO27:BQ27"/>
    <mergeCell ref="BX4:BZ4"/>
    <mergeCell ref="CJ23:CL23"/>
    <mergeCell ref="AH4:AJ4"/>
    <mergeCell ref="AK25:AM25"/>
    <mergeCell ref="CJ4:CL4"/>
    <mergeCell ref="J24:L24"/>
    <mergeCell ref="AW25:AY25"/>
    <mergeCell ref="D27:F27"/>
    <mergeCell ref="AT23:AV23"/>
    <mergeCell ref="C4:C5"/>
    <mergeCell ref="BL24:BN24"/>
    <mergeCell ref="BO25:BQ25"/>
    <mergeCell ref="AZ26:BB26"/>
    <mergeCell ref="BR27:BT27"/>
    <mergeCell ref="J26:L26"/>
    <mergeCell ref="BL26:BN26"/>
    <mergeCell ref="AZ25:BB25"/>
    <mergeCell ref="V27:X27"/>
    <mergeCell ref="AN27:AP27"/>
    <mergeCell ref="AQ23:AS23"/>
    <mergeCell ref="G4:I4"/>
    <mergeCell ref="AH26:AJ26"/>
    <mergeCell ref="AZ27:BB27"/>
    <mergeCell ref="AQ4:AS4"/>
    <mergeCell ref="M26:O26"/>
    <mergeCell ref="BI4:BK4"/>
    <mergeCell ref="D25:F25"/>
    <mergeCell ref="V25:X25"/>
    <mergeCell ref="BC4:BE4"/>
    <mergeCell ref="BU4:BW4"/>
    <mergeCell ref="BX25:BZ25"/>
    <mergeCell ref="M23:O23"/>
    <mergeCell ref="AH25:AJ25"/>
    <mergeCell ref="BR25:BT25"/>
    <mergeCell ref="M4:O4"/>
    <mergeCell ref="Y23:AA23"/>
    <mergeCell ref="AK23:AM23"/>
    <mergeCell ref="S26:U26"/>
    <mergeCell ref="Y4:AA4"/>
    <mergeCell ref="A1:CT1"/>
    <mergeCell ref="CA4:CC4"/>
    <mergeCell ref="A24:C24"/>
    <mergeCell ref="CM4:CO4"/>
    <mergeCell ref="Y24:AA24"/>
    <mergeCell ref="G27:I27"/>
    <mergeCell ref="AB4:AD4"/>
    <mergeCell ref="BC26:BE26"/>
    <mergeCell ref="AN4:AP4"/>
    <mergeCell ref="A25:C25"/>
    <mergeCell ref="BC25:BE25"/>
    <mergeCell ref="CA27:CC27"/>
    <mergeCell ref="J4:L4"/>
    <mergeCell ref="P23:R23"/>
    <mergeCell ref="M25:O25"/>
    <mergeCell ref="AT4:AV4"/>
    <mergeCell ref="BL4:BN4"/>
    <mergeCell ref="Y25:AA25"/>
    <mergeCell ref="BF4:BH4"/>
    <mergeCell ref="CT4:CT5"/>
    <mergeCell ref="AN23:AP23"/>
    <mergeCell ref="V26:X26"/>
    <mergeCell ref="BR4:BT4"/>
    <mergeCell ref="CD4:CF4"/>
    <mergeCell ref="CQ4:CQ5"/>
    <mergeCell ref="AT26:AV26"/>
    <mergeCell ref="CS4:CS5"/>
    <mergeCell ref="A4:A5"/>
    <mergeCell ref="S4:U4"/>
    <mergeCell ref="CD24:CF24"/>
    <mergeCell ref="BX24:BZ24"/>
    <mergeCell ref="AE4:AG4"/>
    <mergeCell ref="BO4:BQ4"/>
    <mergeCell ref="CG4:CI4"/>
    <mergeCell ref="AT25:AV25"/>
    <mergeCell ref="AH24:AJ24"/>
    <mergeCell ref="CD26:CF26"/>
    <mergeCell ref="B4:B5"/>
    <mergeCell ref="P25:R25"/>
    <mergeCell ref="AW23:AY23"/>
    <mergeCell ref="G23:I23"/>
    <mergeCell ref="AK4:AM4"/>
    <mergeCell ref="BI23:BK23"/>
    <mergeCell ref="AW4:AY4"/>
    <mergeCell ref="BU23:BW23"/>
    <mergeCell ref="AK24:AM24"/>
    <mergeCell ref="AW24:AY24"/>
    <mergeCell ref="A27:C27"/>
    <mergeCell ref="BX27:BZ27"/>
    <mergeCell ref="AK26:AM26"/>
    <mergeCell ref="AZ4:BB4"/>
    <mergeCell ref="CM26:CO26"/>
    <mergeCell ref="CM23:CO23"/>
    <mergeCell ref="AW26:AY26"/>
    <mergeCell ref="BC24:BE24"/>
    <mergeCell ref="M27:O27"/>
    <mergeCell ref="D4:F4"/>
    <mergeCell ref="BO24:BQ24"/>
    <mergeCell ref="AB23:AD23"/>
    <mergeCell ref="Y27:AA27"/>
    <mergeCell ref="CG24:CI24"/>
    <mergeCell ref="CD23:CF23"/>
    <mergeCell ref="CM27:CO27"/>
    <mergeCell ref="D24:F24"/>
    <mergeCell ref="G25:I25"/>
    <mergeCell ref="BO26:BQ26"/>
    <mergeCell ref="BI25:BK25"/>
    <mergeCell ref="P24:R24"/>
    <mergeCell ref="AE27:AG27"/>
    <mergeCell ref="CM24:CO24"/>
    <mergeCell ref="AZ23:BB23"/>
    <mergeCell ref="BR24:BT24"/>
    <mergeCell ref="BU25:BW25"/>
    <mergeCell ref="J23:L23"/>
    <mergeCell ref="CG27:CI27"/>
    <mergeCell ref="AQ27:AS27"/>
    <mergeCell ref="D26:F26"/>
    <mergeCell ref="BI27:BK27"/>
    <mergeCell ref="BL23:BN23"/>
    <mergeCell ref="BF26:BH26"/>
    <mergeCell ref="P26:R26"/>
    <mergeCell ref="BR26:BT26"/>
    <mergeCell ref="AN24:AP24"/>
    <mergeCell ref="CA25:CC25"/>
    <mergeCell ref="AZ24:BB24"/>
    <mergeCell ref="CP4:CP5"/>
    <mergeCell ref="BR23:BT23"/>
    <mergeCell ref="CJ24:CL24"/>
    <mergeCell ref="CR4:CR5"/>
    <mergeCell ref="CM25:CO25"/>
    <mergeCell ref="AB26:AD26"/>
    <mergeCell ref="AT27:AV27"/>
    <mergeCell ref="AN26:AP26"/>
    <mergeCell ref="BF27:BH27"/>
    <mergeCell ref="AT24:AV24"/>
  </mergeCells>
  <conditionalFormatting sqref="CR6:CR20">
    <cfRule type="cellIs" priority="1" operator="equal" dxfId="0">
      <formula>"PASS"</formula>
    </cfRule>
    <cfRule type="cellIs" priority="2" operator="equal" dxfId="1">
      <formula>"FAIL"</formula>
    </cfRule>
  </conditionalFormatting>
  <conditionalFormatting sqref="CS6:CS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V6 V7 V8 V9 V10 V11 V12 V13 V14 V15 V16 V17 V18 V19 V20 Y6 Y7 Y8 Y9 Y10 Y11 Y12 Y13 Y14 Y15 Y16 Y17 Y18 Y19 Y20 AB6 AB7 AB8 AB9 AB10 AB11 AB12 AB13 AB14 AB15 AB16 AB17 AB18 AB19 AB20 AE6 AE7 AE8 AE9 AE10 AE11 AE12 AE13 AE14 AE15 AE16 AE17 AE18 AE19 AE20 AH6 AH7 AH8 AH9 AH10 AH11 AH12 AH13 AH14 AH15 AH16 AH17 AH18 AH19 AH20 AK6 AK7 AK8 AK9 AK10 AK11 AK12 AK13 AK14 AK15 AK16 AK17 AK18 AK19 AK20 AN6 AN7 AN8 AN9 AN10 AN11 AN12 AN13 AN14 AN15 AN16 AN17 AN18 AN19 AN20 AQ6 AQ7 AQ8 AQ9 AQ10 AQ11 AQ12 AQ13 AQ14 AQ15 AQ16 AQ17 AQ18 AQ19 AQ20 AT6 AT7 AT8 AT9 AT10 AT11 AT12 AT13 AT14 AT15 AT16 AT17 AT18 AT19 AT20 AW6 AW7 AW8 AW9 AW10 AW11 AW12 AW13 AW14 AW15 AW16 AW17 AW18 AW19 AW20 AZ6 AZ7 AZ8 AZ9 AZ10 AZ11 AZ12 AZ13 AZ14 AZ15 AZ16 AZ17 AZ18 AZ19 AZ20 BC6 BC7 BC8 BC9 BC10 BC11 BC12 BC13 BC14 BC15 BC16 BC17 BC18 BC19 BC20 BF6 BF7 BF8 BF9 BF10 BF11 BF12 BF13 BF14 BF15 BF16 BF17 BF18 BF19 BF20 BI6 BI7 BI8 BI9 BI10 BI11 BI12 BI13 BI14 BI15 BI16 BI17 BI18 BI19 BI20 BL6 BL7 BL8 BL9 BL10 BL11 BL12 BL13 BL14 BL15 BL16 BL17 BL18 BL19 BL20 BO6 BO7 BO8 BO9 BO10 BO11 BO12 BO13 BO14 BO15 BO16 BO17 BO18 BO19 BO20 BR6 BR7 BR8 BR9 BR10 BR11 BR12 BR13 BR14 BR15 BR16 BR17 BR18 BR19 BR20 BU6 BU7 BU8 BU9 BU10 BU11 BU12 BU13 BU14 BU15 BU16 BU17 BU18 BU19 BU20 BX6 BX7 BX8 BX9 BX10 BX11 BX12 BX13 BX14 BX15 BX16 BX17 BX18 BX19 BX20 CA6 CA7 CA8 CA9 CA10 CA11 CA12 CA13 CA14 CA15 CA16 CA17 CA18 CA19 CA20 CD6 CD7 CD8 CD9 CD10 CD11 CD12 CD13 CD14 CD15 CD16 CD17 CD18 CD19 CD20 CG6 CG7 CG8 CG9 CG10 CG11 CG12 CG13 CG14 CG15 CG16 CG17 CG18 CG19 CG20 CJ6 CJ7 CJ8 CJ9 CJ10 CJ11 CJ12 CJ13 CJ14 CJ15 CJ16 CJ17 CJ18 CJ19 CJ20 CM6 CM7 CM8 CM9 CM10 CM11 CM12 CM13 CM14 CM15 CM16 CM17 CM18 CM19 CM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W6 W7 W8 W9 W10 W11 W12 W13 W14 W15 W16 W17 W18 W19 W20 Z6 Z7 Z8 Z9 Z10 Z11 Z12 Z13 Z14 Z15 Z16 Z17 Z18 Z19 Z20 AC6 AC7 AC8 AC9 AC10 AC11 AC12 AC13 AC14 AC15 AC16 AC17 AC18 AC19 AC20 AF6 AF7 AF8 AF9 AF10 AF11 AF12 AF13 AF14 AF15 AF16 AF17 AF18 AF19 AF20 AI6 AI7 AI8 AI9 AI10 AI11 AI12 AI13 AI14 AI15 AI16 AI17 AI18 AI19 AI20 AL6 AL7 AL8 AL9 AL10 AL11 AL12 AL13 AL14 AL15 AL16 AL17 AL18 AL19 AL20 AO6 AO7 AO8 AO9 AO10 AO11 AO12 AO13 AO14 AO15 AO16 AO17 AO18 AO19 AO20 AR6 AR7 AR8 AR9 AR10 AR11 AR12 AR13 AR14 AR15 AR16 AR17 AR18 AR19 AR20 AU6 AU7 AU8 AU9 AU10 AU11 AU12 AU13 AU14 AU15 AU16 AU17 AU18 AU19 AU20 AX6 AX7 AX8 AX9 AX10 AX11 AX12 AX13 AX14 AX15 AX16 AX17 AX18 AX19 AX20 BA6 BA7 BA8 BA9 BA10 BA11 BA12 BA13 BA14 BA15 BA16 BA17 BA18 BA19 BA20 BD6 BD7 BD8 BD9 BD10 BD11 BD12 BD13 BD14 BD15 BD16 BD17 BD18 BD19 BD20 BG6 BG7 BG8 BG9 BG10 BG11 BG12 BG13 BG14 BG15 BG16 BG17 BG18 BG19 BG20 BJ6 BJ7 BJ8 BJ9 BJ10 BJ11 BJ12 BJ13 BJ14 BJ15 BJ16 BJ17 BJ18 BJ19 BJ20 BM6 BM7 BM8 BM9 BM10 BM11 BM12 BM13 BM14 BM15 BM16 BM17 BM18 BM19 BM20 BP6 BP7 BP8 BP9 BP10 BP11 BP12 BP13 BP14 BP15 BP16 BP17 BP18 BP19 BP20 BS6 BS7 BS8 BS9 BS10 BS11 BS12 BS13 BS14 BS15 BS16 BS17 BS18 BS19 BS20 BV6 BV7 BV8 BV9 BV10 BV11 BV12 BV13 BV14 BV15 BV16 BV17 BV18 BV19 BV20 BY6 BY7 BY8 BY9 BY10 BY11 BY12 BY13 BY14 BY15 BY16 BY17 BY18 BY19 BY20 CB6 CB7 CB8 CB9 CB10 CB11 CB12 CB13 CB14 CB15 CB16 CB17 CB18 CB19 CB20 CE6 CE7 CE8 CE9 CE10 CE11 CE12 CE13 CE14 CE15 CE16 CE17 CE18 CE19 CE20 CH6 CH7 CH8 CH9 CH10 CH11 CH12 CH13 CH14 CH15 CH16 CH17 CH18 CH19 CH20 CK6 CK7 CK8 CK9 CK10 CK11 CK12 CK13 CK14 CK15 CK16 CK17 CK18 CK19 CK20 CN6 CN7 CN8 CN9 CN10 CN11 CN12 CN13 CN14 CN15 CN16 CN17 CN18 CN19 CN20" showDropDown="0" showInputMessage="0" showErrorMessage="0" allowBlank="1" type="whole" operator="between">
      <formula1>0</formula1>
      <formula2>20</formula2>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T3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9" customWidth="1" min="22" max="22"/>
    <col width="9" customWidth="1" min="23" max="23"/>
    <col width="11" customWidth="1" min="24" max="24"/>
    <col width="9" customWidth="1" min="25" max="25"/>
    <col width="9" customWidth="1" min="26" max="26"/>
    <col width="11" customWidth="1" min="27" max="27"/>
    <col width="9" customWidth="1" min="28" max="28"/>
    <col width="9" customWidth="1" min="29" max="29"/>
    <col width="11" customWidth="1" min="30" max="30"/>
    <col width="9" customWidth="1" min="31" max="31"/>
    <col width="9" customWidth="1" min="32" max="32"/>
    <col width="11" customWidth="1" min="33" max="33"/>
    <col width="9" customWidth="1" min="34" max="34"/>
    <col width="9" customWidth="1" min="35" max="35"/>
    <col width="11" customWidth="1" min="36" max="36"/>
    <col width="9" customWidth="1" min="37" max="37"/>
    <col width="9" customWidth="1" min="38" max="38"/>
    <col width="11" customWidth="1" min="39" max="39"/>
    <col width="9" customWidth="1" min="40" max="40"/>
    <col width="9" customWidth="1" min="41" max="41"/>
    <col width="11" customWidth="1" min="42" max="42"/>
    <col width="9" customWidth="1" min="43" max="43"/>
    <col width="9" customWidth="1" min="44" max="44"/>
    <col width="11" customWidth="1" min="45" max="45"/>
    <col width="9" customWidth="1" min="46" max="46"/>
    <col width="9" customWidth="1" min="47" max="47"/>
    <col width="11" customWidth="1" min="48" max="48"/>
    <col width="9" customWidth="1" min="49" max="49"/>
    <col width="9" customWidth="1" min="50" max="50"/>
    <col width="11" customWidth="1" min="51" max="51"/>
    <col width="9" customWidth="1" min="52" max="52"/>
    <col width="9" customWidth="1" min="53" max="53"/>
    <col width="11" customWidth="1" min="54" max="54"/>
    <col width="9" customWidth="1" min="55" max="55"/>
    <col width="9" customWidth="1" min="56" max="56"/>
    <col width="11" customWidth="1" min="57" max="57"/>
    <col width="9" customWidth="1" min="58" max="58"/>
    <col width="9" customWidth="1" min="59" max="59"/>
    <col width="11" customWidth="1" min="60" max="60"/>
    <col width="9" customWidth="1" min="61" max="61"/>
    <col width="9" customWidth="1" min="62" max="62"/>
    <col width="11" customWidth="1" min="63" max="63"/>
    <col width="9" customWidth="1" min="64" max="64"/>
    <col width="9" customWidth="1" min="65" max="65"/>
    <col width="11" customWidth="1" min="66" max="66"/>
    <col width="9" customWidth="1" min="67" max="67"/>
    <col width="9" customWidth="1" min="68" max="68"/>
    <col width="11" customWidth="1" min="69" max="69"/>
    <col width="9" customWidth="1" min="70" max="70"/>
    <col width="9" customWidth="1" min="71" max="71"/>
    <col width="11" customWidth="1" min="72" max="72"/>
    <col width="9" customWidth="1" min="73" max="73"/>
    <col width="9" customWidth="1" min="74" max="74"/>
    <col width="11" customWidth="1" min="75" max="75"/>
    <col width="9" customWidth="1" min="76" max="76"/>
    <col width="9" customWidth="1" min="77" max="77"/>
    <col width="11" customWidth="1" min="78" max="78"/>
    <col width="9" customWidth="1" min="79" max="79"/>
    <col width="9" customWidth="1" min="80" max="80"/>
    <col width="11" customWidth="1" min="81" max="81"/>
    <col width="9" customWidth="1" min="82" max="82"/>
    <col width="9" customWidth="1" min="83" max="83"/>
    <col width="11" customWidth="1" min="84" max="84"/>
    <col width="9" customWidth="1" min="85" max="85"/>
    <col width="9" customWidth="1" min="86" max="86"/>
    <col width="11" customWidth="1" min="87" max="87"/>
    <col width="9" customWidth="1" min="88" max="88"/>
    <col width="9" customWidth="1" min="89" max="89"/>
    <col width="11" customWidth="1" min="90" max="90"/>
    <col width="9" customWidth="1" min="91" max="91"/>
    <col width="9" customWidth="1" min="92" max="92"/>
    <col width="11" customWidth="1" min="93" max="93"/>
    <col width="14" customWidth="1" min="94" max="94"/>
    <col width="13" customWidth="1" min="95" max="95"/>
    <col width="11" customWidth="1" min="96" max="96"/>
    <col width="9" customWidth="1" min="97" max="97"/>
    <col width="10" customWidth="1" min="98" max="98"/>
  </cols>
  <sheetData>
    <row r="1" ht="38" customHeight="1">
      <c r="A1" s="1" t="inlineStr">
        <is>
          <t>EVAL AI (ADEM) — [CLASS NAME] EXAMINATION MARK SHEET</t>
        </is>
      </c>
    </row>
    <row r="2" ht="22" customHeight="1">
      <c r="A2" s="2" t="inlineStr">
        <is>
          <t>Academic Year: 2025–2026  |  Class: [Class Name]  |  Total Subjects: 30  |  Max Marks: 3000  |  Pass: Min 35% in each subject</t>
        </is>
      </c>
    </row>
    <row r="3" ht="8" customHeight="1"/>
    <row r="4" ht="26" customHeight="1">
      <c r="A4" s="19" t="inlineStr">
        <is>
          <t>S.No</t>
        </is>
      </c>
      <c r="B4" s="19" t="inlineStr">
        <is>
          <t>Roll No</t>
        </is>
      </c>
      <c r="C4" s="19" t="inlineStr">
        <is>
          <t>Student Name</t>
        </is>
      </c>
      <c r="D4" s="20" t="inlineStr">
        <is>
          <t>ART (100)</t>
        </is>
      </c>
      <c r="E4" s="21" t="n"/>
      <c r="F4" s="21" t="n"/>
      <c r="G4" s="20" t="inlineStr">
        <is>
          <t>ART (100)</t>
        </is>
      </c>
      <c r="H4" s="21" t="n"/>
      <c r="I4" s="21" t="n"/>
      <c r="J4" s="20" t="inlineStr">
        <is>
          <t>BIOLOGY (100)</t>
        </is>
      </c>
      <c r="K4" s="21" t="n"/>
      <c r="L4" s="21" t="n"/>
      <c r="M4" s="20" t="inlineStr">
        <is>
          <t>BIOLOGY (100)</t>
        </is>
      </c>
      <c r="N4" s="21" t="n"/>
      <c r="O4" s="21" t="n"/>
      <c r="P4" s="20" t="inlineStr">
        <is>
          <t>BIOLOGY (100)</t>
        </is>
      </c>
      <c r="Q4" s="21" t="n"/>
      <c r="R4" s="21" t="n"/>
      <c r="S4" s="20" t="inlineStr">
        <is>
          <t>BIOLOGY (100)</t>
        </is>
      </c>
      <c r="T4" s="21" t="n"/>
      <c r="U4" s="21" t="n"/>
      <c r="V4" s="20" t="inlineStr">
        <is>
          <t>BOTANY (100)</t>
        </is>
      </c>
      <c r="W4" s="21" t="n"/>
      <c r="X4" s="21" t="n"/>
      <c r="Y4" s="20" t="inlineStr">
        <is>
          <t>BOTANY (100)</t>
        </is>
      </c>
      <c r="Z4" s="21" t="n"/>
      <c r="AA4" s="21" t="n"/>
      <c r="AB4" s="20" t="inlineStr">
        <is>
          <t>CHEMISTRY (100)</t>
        </is>
      </c>
      <c r="AC4" s="21" t="n"/>
      <c r="AD4" s="21" t="n"/>
      <c r="AE4" s="20" t="inlineStr">
        <is>
          <t>CHEMISTRY (100)</t>
        </is>
      </c>
      <c r="AF4" s="21" t="n"/>
      <c r="AG4" s="21" t="n"/>
      <c r="AH4" s="20" t="inlineStr">
        <is>
          <t>CHEMISTRY (100)</t>
        </is>
      </c>
      <c r="AI4" s="21" t="n"/>
      <c r="AJ4" s="21" t="n"/>
      <c r="AK4" s="20" t="inlineStr">
        <is>
          <t>CHEMISTRY (100)</t>
        </is>
      </c>
      <c r="AL4" s="21" t="n"/>
      <c r="AM4" s="21" t="n"/>
      <c r="AN4" s="20" t="inlineStr">
        <is>
          <t>ENGLISH (100)</t>
        </is>
      </c>
      <c r="AO4" s="21" t="n"/>
      <c r="AP4" s="21" t="n"/>
      <c r="AQ4" s="20" t="inlineStr">
        <is>
          <t>HISTORY (100)</t>
        </is>
      </c>
      <c r="AR4" s="21" t="n"/>
      <c r="AS4" s="21" t="n"/>
      <c r="AT4" s="20" t="inlineStr">
        <is>
          <t>HISTORY (100)</t>
        </is>
      </c>
      <c r="AU4" s="21" t="n"/>
      <c r="AV4" s="21" t="n"/>
      <c r="AW4" s="20" t="inlineStr">
        <is>
          <t>MATH (100)</t>
        </is>
      </c>
      <c r="AX4" s="21" t="n"/>
      <c r="AY4" s="21" t="n"/>
      <c r="AZ4" s="20" t="inlineStr">
        <is>
          <t>MATH (100)</t>
        </is>
      </c>
      <c r="BA4" s="21" t="n"/>
      <c r="BB4" s="21" t="n"/>
      <c r="BC4" s="20" t="inlineStr">
        <is>
          <t>MATHEMATICS (100)</t>
        </is>
      </c>
      <c r="BD4" s="21" t="n"/>
      <c r="BE4" s="21" t="n"/>
      <c r="BF4" s="20" t="inlineStr">
        <is>
          <t>MATHEMATICS (100)</t>
        </is>
      </c>
      <c r="BG4" s="21" t="n"/>
      <c r="BH4" s="21" t="n"/>
      <c r="BI4" s="20" t="inlineStr">
        <is>
          <t>MATHS (100)</t>
        </is>
      </c>
      <c r="BJ4" s="21" t="n"/>
      <c r="BK4" s="21" t="n"/>
      <c r="BL4" s="20" t="inlineStr">
        <is>
          <t>MATHS (100)</t>
        </is>
      </c>
      <c r="BM4" s="21" t="n"/>
      <c r="BN4" s="21" t="n"/>
      <c r="BO4" s="20" t="inlineStr">
        <is>
          <t>PHYSICS (100)</t>
        </is>
      </c>
      <c r="BP4" s="21" t="n"/>
      <c r="BQ4" s="21" t="n"/>
      <c r="BR4" s="20" t="inlineStr">
        <is>
          <t>PHYSICS (100)</t>
        </is>
      </c>
      <c r="BS4" s="21" t="n"/>
      <c r="BT4" s="21" t="n"/>
      <c r="BU4" s="20" t="inlineStr">
        <is>
          <t>PHYSICS (100)</t>
        </is>
      </c>
      <c r="BV4" s="21" t="n"/>
      <c r="BW4" s="21" t="n"/>
      <c r="BX4" s="20" t="inlineStr">
        <is>
          <t>PHYSICS (100)</t>
        </is>
      </c>
      <c r="BY4" s="21" t="n"/>
      <c r="BZ4" s="21" t="n"/>
      <c r="CA4" s="20" t="inlineStr">
        <is>
          <t>SUBJECT EVALSPLIT (100)</t>
        </is>
      </c>
      <c r="CB4" s="21" t="n"/>
      <c r="CC4" s="21" t="n"/>
      <c r="CD4" s="20" t="inlineStr">
        <is>
          <t>SUBJECT EVALSPLIT (100)</t>
        </is>
      </c>
      <c r="CE4" s="21" t="n"/>
      <c r="CF4" s="21" t="n"/>
      <c r="CG4" s="20" t="inlineStr">
        <is>
          <t>SUBJECT SPLITKEY (100)</t>
        </is>
      </c>
      <c r="CH4" s="21" t="n"/>
      <c r="CI4" s="21" t="n"/>
      <c r="CJ4" s="20" t="inlineStr">
        <is>
          <t>SUBJECT SPLITKEY (100)</t>
        </is>
      </c>
      <c r="CK4" s="21" t="n"/>
      <c r="CL4" s="21" t="n"/>
      <c r="CM4" s="20" t="inlineStr">
        <is>
          <t>MATH (100)</t>
        </is>
      </c>
      <c r="CN4" s="21" t="n"/>
      <c r="CO4" s="21" t="n"/>
      <c r="CP4" s="20" t="inlineStr">
        <is>
          <t>Grand Total
(3000)</t>
        </is>
      </c>
      <c r="CQ4" s="20" t="inlineStr">
        <is>
          <t>Percentage
(%)</t>
        </is>
      </c>
      <c r="CR4" s="20" t="inlineStr">
        <is>
          <t>Result</t>
        </is>
      </c>
      <c r="CS4" s="20" t="inlineStr">
        <is>
          <t>Grade</t>
        </is>
      </c>
      <c r="CT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2" t="inlineStr">
        <is>
          <t>Theory
(80)</t>
        </is>
      </c>
      <c r="W5" s="22" t="inlineStr">
        <is>
          <t>Internal
(20)</t>
        </is>
      </c>
      <c r="X5" s="23" t="inlineStr">
        <is>
          <t>Total
(100)</t>
        </is>
      </c>
      <c r="Y5" s="22" t="inlineStr">
        <is>
          <t>Theory
(80)</t>
        </is>
      </c>
      <c r="Z5" s="22" t="inlineStr">
        <is>
          <t>Internal
(20)</t>
        </is>
      </c>
      <c r="AA5" s="23" t="inlineStr">
        <is>
          <t>Total
(100)</t>
        </is>
      </c>
      <c r="AB5" s="22" t="inlineStr">
        <is>
          <t>Theory
(80)</t>
        </is>
      </c>
      <c r="AC5" s="22" t="inlineStr">
        <is>
          <t>Internal
(20)</t>
        </is>
      </c>
      <c r="AD5" s="23" t="inlineStr">
        <is>
          <t>Total
(100)</t>
        </is>
      </c>
      <c r="AE5" s="22" t="inlineStr">
        <is>
          <t>Theory
(80)</t>
        </is>
      </c>
      <c r="AF5" s="22" t="inlineStr">
        <is>
          <t>Internal
(20)</t>
        </is>
      </c>
      <c r="AG5" s="23" t="inlineStr">
        <is>
          <t>Total
(100)</t>
        </is>
      </c>
      <c r="AH5" s="22" t="inlineStr">
        <is>
          <t>Theory
(80)</t>
        </is>
      </c>
      <c r="AI5" s="22" t="inlineStr">
        <is>
          <t>Internal
(20)</t>
        </is>
      </c>
      <c r="AJ5" s="23" t="inlineStr">
        <is>
          <t>Total
(100)</t>
        </is>
      </c>
      <c r="AK5" s="22" t="inlineStr">
        <is>
          <t>Theory
(80)</t>
        </is>
      </c>
      <c r="AL5" s="22" t="inlineStr">
        <is>
          <t>Internal
(20)</t>
        </is>
      </c>
      <c r="AM5" s="23" t="inlineStr">
        <is>
          <t>Total
(100)</t>
        </is>
      </c>
      <c r="AN5" s="22" t="inlineStr">
        <is>
          <t>Theory
(80)</t>
        </is>
      </c>
      <c r="AO5" s="22" t="inlineStr">
        <is>
          <t>Internal
(20)</t>
        </is>
      </c>
      <c r="AP5" s="23" t="inlineStr">
        <is>
          <t>Total
(100)</t>
        </is>
      </c>
      <c r="AQ5" s="22" t="inlineStr">
        <is>
          <t>Theory
(80)</t>
        </is>
      </c>
      <c r="AR5" s="22" t="inlineStr">
        <is>
          <t>Internal
(20)</t>
        </is>
      </c>
      <c r="AS5" s="23" t="inlineStr">
        <is>
          <t>Total
(100)</t>
        </is>
      </c>
      <c r="AT5" s="22" t="inlineStr">
        <is>
          <t>Theory
(80)</t>
        </is>
      </c>
      <c r="AU5" s="22" t="inlineStr">
        <is>
          <t>Internal
(20)</t>
        </is>
      </c>
      <c r="AV5" s="23" t="inlineStr">
        <is>
          <t>Total
(100)</t>
        </is>
      </c>
      <c r="AW5" s="22" t="inlineStr">
        <is>
          <t>Theory
(80)</t>
        </is>
      </c>
      <c r="AX5" s="22" t="inlineStr">
        <is>
          <t>Internal
(20)</t>
        </is>
      </c>
      <c r="AY5" s="23" t="inlineStr">
        <is>
          <t>Total
(100)</t>
        </is>
      </c>
      <c r="AZ5" s="22" t="inlineStr">
        <is>
          <t>Theory
(80)</t>
        </is>
      </c>
      <c r="BA5" s="22" t="inlineStr">
        <is>
          <t>Internal
(20)</t>
        </is>
      </c>
      <c r="BB5" s="23" t="inlineStr">
        <is>
          <t>Total
(100)</t>
        </is>
      </c>
      <c r="BC5" s="22" t="inlineStr">
        <is>
          <t>Theory
(80)</t>
        </is>
      </c>
      <c r="BD5" s="22" t="inlineStr">
        <is>
          <t>Internal
(20)</t>
        </is>
      </c>
      <c r="BE5" s="23" t="inlineStr">
        <is>
          <t>Total
(100)</t>
        </is>
      </c>
      <c r="BF5" s="22" t="inlineStr">
        <is>
          <t>Theory
(80)</t>
        </is>
      </c>
      <c r="BG5" s="22" t="inlineStr">
        <is>
          <t>Internal
(20)</t>
        </is>
      </c>
      <c r="BH5" s="23" t="inlineStr">
        <is>
          <t>Total
(100)</t>
        </is>
      </c>
      <c r="BI5" s="22" t="inlineStr">
        <is>
          <t>Theory
(80)</t>
        </is>
      </c>
      <c r="BJ5" s="22" t="inlineStr">
        <is>
          <t>Internal
(20)</t>
        </is>
      </c>
      <c r="BK5" s="23" t="inlineStr">
        <is>
          <t>Total
(100)</t>
        </is>
      </c>
      <c r="BL5" s="22" t="inlineStr">
        <is>
          <t>Theory
(80)</t>
        </is>
      </c>
      <c r="BM5" s="22" t="inlineStr">
        <is>
          <t>Internal
(20)</t>
        </is>
      </c>
      <c r="BN5" s="23" t="inlineStr">
        <is>
          <t>Total
(100)</t>
        </is>
      </c>
      <c r="BO5" s="22" t="inlineStr">
        <is>
          <t>Theory
(80)</t>
        </is>
      </c>
      <c r="BP5" s="22" t="inlineStr">
        <is>
          <t>Internal
(20)</t>
        </is>
      </c>
      <c r="BQ5" s="23" t="inlineStr">
        <is>
          <t>Total
(100)</t>
        </is>
      </c>
      <c r="BR5" s="22" t="inlineStr">
        <is>
          <t>Theory
(80)</t>
        </is>
      </c>
      <c r="BS5" s="22" t="inlineStr">
        <is>
          <t>Internal
(20)</t>
        </is>
      </c>
      <c r="BT5" s="23" t="inlineStr">
        <is>
          <t>Total
(100)</t>
        </is>
      </c>
      <c r="BU5" s="22" t="inlineStr">
        <is>
          <t>Theory
(80)</t>
        </is>
      </c>
      <c r="BV5" s="22" t="inlineStr">
        <is>
          <t>Internal
(20)</t>
        </is>
      </c>
      <c r="BW5" s="23" t="inlineStr">
        <is>
          <t>Total
(100)</t>
        </is>
      </c>
      <c r="BX5" s="22" t="inlineStr">
        <is>
          <t>Theory
(80)</t>
        </is>
      </c>
      <c r="BY5" s="22" t="inlineStr">
        <is>
          <t>Internal
(20)</t>
        </is>
      </c>
      <c r="BZ5" s="23" t="inlineStr">
        <is>
          <t>Total
(100)</t>
        </is>
      </c>
      <c r="CA5" s="22" t="inlineStr">
        <is>
          <t>Theory
(80)</t>
        </is>
      </c>
      <c r="CB5" s="22" t="inlineStr">
        <is>
          <t>Internal
(20)</t>
        </is>
      </c>
      <c r="CC5" s="23" t="inlineStr">
        <is>
          <t>Total
(100)</t>
        </is>
      </c>
      <c r="CD5" s="22" t="inlineStr">
        <is>
          <t>Theory
(80)</t>
        </is>
      </c>
      <c r="CE5" s="22" t="inlineStr">
        <is>
          <t>Internal
(20)</t>
        </is>
      </c>
      <c r="CF5" s="23" t="inlineStr">
        <is>
          <t>Total
(100)</t>
        </is>
      </c>
      <c r="CG5" s="22" t="inlineStr">
        <is>
          <t>Theory
(80)</t>
        </is>
      </c>
      <c r="CH5" s="22" t="inlineStr">
        <is>
          <t>Internal
(20)</t>
        </is>
      </c>
      <c r="CI5" s="23" t="inlineStr">
        <is>
          <t>Total
(100)</t>
        </is>
      </c>
      <c r="CJ5" s="22" t="inlineStr">
        <is>
          <t>Theory
(80)</t>
        </is>
      </c>
      <c r="CK5" s="22" t="inlineStr">
        <is>
          <t>Internal
(20)</t>
        </is>
      </c>
      <c r="CL5" s="23" t="inlineStr">
        <is>
          <t>Total
(100)</t>
        </is>
      </c>
      <c r="CM5" s="22" t="inlineStr">
        <is>
          <t>Theory
(80)</t>
        </is>
      </c>
      <c r="CN5" s="22" t="inlineStr">
        <is>
          <t>Internal
(20)</t>
        </is>
      </c>
      <c r="CO5" s="23" t="inlineStr">
        <is>
          <t>Total
(100)</t>
        </is>
      </c>
      <c r="CP5" s="21" t="n"/>
      <c r="CQ5" s="21" t="n"/>
      <c r="CR5" s="21" t="n"/>
      <c r="CS5" s="21" t="n"/>
      <c r="CT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5" t="n"/>
      <c r="W6" s="5" t="n"/>
      <c r="X6" s="7">
        <f>IF(ISBLANK(C6), "", V6+W6)</f>
        <v/>
      </c>
      <c r="Y6" s="5" t="n"/>
      <c r="Z6" s="5" t="n"/>
      <c r="AA6" s="7">
        <f>IF(ISBLANK(C6), "", Y6+Z6)</f>
        <v/>
      </c>
      <c r="AB6" s="5" t="n"/>
      <c r="AC6" s="5" t="n"/>
      <c r="AD6" s="7">
        <f>IF(ISBLANK(C6), "", AB6+AC6)</f>
        <v/>
      </c>
      <c r="AE6" s="5" t="n"/>
      <c r="AF6" s="5" t="n"/>
      <c r="AG6" s="7">
        <f>IF(ISBLANK(C6), "", AE6+AF6)</f>
        <v/>
      </c>
      <c r="AH6" s="5" t="n"/>
      <c r="AI6" s="5" t="n"/>
      <c r="AJ6" s="7">
        <f>IF(ISBLANK(C6), "", AH6+AI6)</f>
        <v/>
      </c>
      <c r="AK6" s="5" t="n"/>
      <c r="AL6" s="5" t="n"/>
      <c r="AM6" s="7">
        <f>IF(ISBLANK(C6), "", AK6+AL6)</f>
        <v/>
      </c>
      <c r="AN6" s="5" t="n"/>
      <c r="AO6" s="5" t="n"/>
      <c r="AP6" s="7">
        <f>IF(ISBLANK(C6), "", AN6+AO6)</f>
        <v/>
      </c>
      <c r="AQ6" s="5" t="n"/>
      <c r="AR6" s="5" t="n"/>
      <c r="AS6" s="7">
        <f>IF(ISBLANK(C6), "", AQ6+AR6)</f>
        <v/>
      </c>
      <c r="AT6" s="5" t="n"/>
      <c r="AU6" s="5" t="n"/>
      <c r="AV6" s="7">
        <f>IF(ISBLANK(C6), "", AT6+AU6)</f>
        <v/>
      </c>
      <c r="AW6" s="5" t="n"/>
      <c r="AX6" s="5" t="n"/>
      <c r="AY6" s="7">
        <f>IF(ISBLANK(C6), "", AW6+AX6)</f>
        <v/>
      </c>
      <c r="AZ6" s="5" t="n"/>
      <c r="BA6" s="5" t="n"/>
      <c r="BB6" s="7">
        <f>IF(ISBLANK(C6), "", AZ6+BA6)</f>
        <v/>
      </c>
      <c r="BC6" s="5" t="n"/>
      <c r="BD6" s="5" t="n"/>
      <c r="BE6" s="7">
        <f>IF(ISBLANK(C6), "", BC6+BD6)</f>
        <v/>
      </c>
      <c r="BF6" s="5" t="n"/>
      <c r="BG6" s="5" t="n"/>
      <c r="BH6" s="7">
        <f>IF(ISBLANK(C6), "", BF6+BG6)</f>
        <v/>
      </c>
      <c r="BI6" s="5" t="n"/>
      <c r="BJ6" s="5" t="n"/>
      <c r="BK6" s="7">
        <f>IF(ISBLANK(C6), "", BI6+BJ6)</f>
        <v/>
      </c>
      <c r="BL6" s="5" t="n"/>
      <c r="BM6" s="5" t="n"/>
      <c r="BN6" s="7">
        <f>IF(ISBLANK(C6), "", BL6+BM6)</f>
        <v/>
      </c>
      <c r="BO6" s="5" t="n"/>
      <c r="BP6" s="5" t="n"/>
      <c r="BQ6" s="7">
        <f>IF(ISBLANK(C6), "", BO6+BP6)</f>
        <v/>
      </c>
      <c r="BR6" s="5" t="n"/>
      <c r="BS6" s="5" t="n"/>
      <c r="BT6" s="7">
        <f>IF(ISBLANK(C6), "", BR6+BS6)</f>
        <v/>
      </c>
      <c r="BU6" s="5" t="n"/>
      <c r="BV6" s="5" t="n"/>
      <c r="BW6" s="7">
        <f>IF(ISBLANK(C6), "", BU6+BV6)</f>
        <v/>
      </c>
      <c r="BX6" s="5" t="n"/>
      <c r="BY6" s="5" t="n"/>
      <c r="BZ6" s="7">
        <f>IF(ISBLANK(C6), "", BX6+BY6)</f>
        <v/>
      </c>
      <c r="CA6" s="5" t="n"/>
      <c r="CB6" s="5" t="n"/>
      <c r="CC6" s="7">
        <f>IF(ISBLANK(C6), "", CA6+CB6)</f>
        <v/>
      </c>
      <c r="CD6" s="5" t="n"/>
      <c r="CE6" s="5" t="n"/>
      <c r="CF6" s="7">
        <f>IF(ISBLANK(C6), "", CD6+CE6)</f>
        <v/>
      </c>
      <c r="CG6" s="5" t="n"/>
      <c r="CH6" s="5" t="n"/>
      <c r="CI6" s="7">
        <f>IF(ISBLANK(C6), "", CG6+CH6)</f>
        <v/>
      </c>
      <c r="CJ6" s="5" t="n"/>
      <c r="CK6" s="5" t="n"/>
      <c r="CL6" s="7">
        <f>IF(ISBLANK(C6), "", CJ6+CK6)</f>
        <v/>
      </c>
      <c r="CM6" s="5" t="n"/>
      <c r="CN6" s="5" t="n"/>
      <c r="CO6" s="7">
        <f>IF(ISBLANK(C6), "", CM6+CN6)</f>
        <v/>
      </c>
      <c r="CP6" s="24">
        <f>IF(ISBLANK(C6), "", F6+I6+L6+O6+R6+U6+X6+AA6+AD6+AG6+AJ6+AM6+AP6+AS6+AV6+AY6+BB6+BE6+BH6+BK6+BN6+BQ6+BT6+BW6+BZ6+CC6+CF6+CI6+CL6+CO6)</f>
        <v/>
      </c>
      <c r="CQ6" s="10">
        <f>IF(OR(ISBLANK(C6), CP6=""), "", ROUND((CP6/3000)*100, 1))</f>
        <v/>
      </c>
      <c r="CR6" s="7">
        <f>IF(OR(ISBLANK(C6), CP6=""), "", IF(AND(F6&gt;=35, I6&gt;=35, L6&gt;=35, O6&gt;=35, R6&gt;=35, U6&gt;=35, X6&gt;=35, AA6&gt;=35, AD6&gt;=35, AG6&gt;=35, AJ6&gt;=35, AM6&gt;=35, AP6&gt;=35, AS6&gt;=35, AV6&gt;=35, AY6&gt;=35, BB6&gt;=35, BE6&gt;=35, BH6&gt;=35, BK6&gt;=35, BN6&gt;=35, BQ6&gt;=35, BT6&gt;=35, BW6&gt;=35, BZ6&gt;=35, CC6&gt;=35, CF6&gt;=35, CI6&gt;=35, CL6&gt;=35, CO6&gt;=35), "PASS", "FAIL"))</f>
        <v/>
      </c>
      <c r="CS6" s="7">
        <f>IF(OR(ISBLANK(C6), CR6=""), "", IF(CR6="FAIL", "F", IF(CQ6&gt;=90, "A+", IF(CQ6&gt;=80, "A", IF(CQ6&gt;=70, "B", IF(CQ6&gt;=50, "C", "D"))))))</f>
        <v/>
      </c>
      <c r="CT6" s="7">
        <f>IF(OR(ISBLANK(C6), CP6=""), "", RANK(CP6, $CP$6:$CP$30))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12" t="n"/>
      <c r="W7" s="12" t="n"/>
      <c r="X7" s="14">
        <f>IF(ISBLANK(C7), "", V7+W7)</f>
        <v/>
      </c>
      <c r="Y7" s="12" t="n"/>
      <c r="Z7" s="12" t="n"/>
      <c r="AA7" s="14">
        <f>IF(ISBLANK(C7), "", Y7+Z7)</f>
        <v/>
      </c>
      <c r="AB7" s="12" t="n"/>
      <c r="AC7" s="12" t="n"/>
      <c r="AD7" s="14">
        <f>IF(ISBLANK(C7), "", AB7+AC7)</f>
        <v/>
      </c>
      <c r="AE7" s="12" t="n"/>
      <c r="AF7" s="12" t="n"/>
      <c r="AG7" s="14">
        <f>IF(ISBLANK(C7), "", AE7+AF7)</f>
        <v/>
      </c>
      <c r="AH7" s="12" t="n"/>
      <c r="AI7" s="12" t="n"/>
      <c r="AJ7" s="14">
        <f>IF(ISBLANK(C7), "", AH7+AI7)</f>
        <v/>
      </c>
      <c r="AK7" s="12" t="n"/>
      <c r="AL7" s="12" t="n"/>
      <c r="AM7" s="14">
        <f>IF(ISBLANK(C7), "", AK7+AL7)</f>
        <v/>
      </c>
      <c r="AN7" s="12" t="n"/>
      <c r="AO7" s="12" t="n"/>
      <c r="AP7" s="14">
        <f>IF(ISBLANK(C7), "", AN7+AO7)</f>
        <v/>
      </c>
      <c r="AQ7" s="12" t="n"/>
      <c r="AR7" s="12" t="n"/>
      <c r="AS7" s="14">
        <f>IF(ISBLANK(C7), "", AQ7+AR7)</f>
        <v/>
      </c>
      <c r="AT7" s="12" t="n"/>
      <c r="AU7" s="12" t="n"/>
      <c r="AV7" s="14">
        <f>IF(ISBLANK(C7), "", AT7+AU7)</f>
        <v/>
      </c>
      <c r="AW7" s="12" t="n"/>
      <c r="AX7" s="12" t="n"/>
      <c r="AY7" s="14">
        <f>IF(ISBLANK(C7), "", AW7+AX7)</f>
        <v/>
      </c>
      <c r="AZ7" s="12" t="n"/>
      <c r="BA7" s="12" t="n"/>
      <c r="BB7" s="14">
        <f>IF(ISBLANK(C7), "", AZ7+BA7)</f>
        <v/>
      </c>
      <c r="BC7" s="12" t="n"/>
      <c r="BD7" s="12" t="n"/>
      <c r="BE7" s="14">
        <f>IF(ISBLANK(C7), "", BC7+BD7)</f>
        <v/>
      </c>
      <c r="BF7" s="12" t="n"/>
      <c r="BG7" s="12" t="n"/>
      <c r="BH7" s="14">
        <f>IF(ISBLANK(C7), "", BF7+BG7)</f>
        <v/>
      </c>
      <c r="BI7" s="12" t="n"/>
      <c r="BJ7" s="12" t="n"/>
      <c r="BK7" s="14">
        <f>IF(ISBLANK(C7), "", BI7+BJ7)</f>
        <v/>
      </c>
      <c r="BL7" s="12" t="n"/>
      <c r="BM7" s="12" t="n"/>
      <c r="BN7" s="14">
        <f>IF(ISBLANK(C7), "", BL7+BM7)</f>
        <v/>
      </c>
      <c r="BO7" s="12" t="n"/>
      <c r="BP7" s="12" t="n"/>
      <c r="BQ7" s="14">
        <f>IF(ISBLANK(C7), "", BO7+BP7)</f>
        <v/>
      </c>
      <c r="BR7" s="12" t="n"/>
      <c r="BS7" s="12" t="n"/>
      <c r="BT7" s="14">
        <f>IF(ISBLANK(C7), "", BR7+BS7)</f>
        <v/>
      </c>
      <c r="BU7" s="12" t="n"/>
      <c r="BV7" s="12" t="n"/>
      <c r="BW7" s="14">
        <f>IF(ISBLANK(C7), "", BU7+BV7)</f>
        <v/>
      </c>
      <c r="BX7" s="12" t="n"/>
      <c r="BY7" s="12" t="n"/>
      <c r="BZ7" s="14">
        <f>IF(ISBLANK(C7), "", BX7+BY7)</f>
        <v/>
      </c>
      <c r="CA7" s="12" t="n"/>
      <c r="CB7" s="12" t="n"/>
      <c r="CC7" s="14">
        <f>IF(ISBLANK(C7), "", CA7+CB7)</f>
        <v/>
      </c>
      <c r="CD7" s="12" t="n"/>
      <c r="CE7" s="12" t="n"/>
      <c r="CF7" s="14">
        <f>IF(ISBLANK(C7), "", CD7+CE7)</f>
        <v/>
      </c>
      <c r="CG7" s="12" t="n"/>
      <c r="CH7" s="12" t="n"/>
      <c r="CI7" s="14">
        <f>IF(ISBLANK(C7), "", CG7+CH7)</f>
        <v/>
      </c>
      <c r="CJ7" s="12" t="n"/>
      <c r="CK7" s="12" t="n"/>
      <c r="CL7" s="14">
        <f>IF(ISBLANK(C7), "", CJ7+CK7)</f>
        <v/>
      </c>
      <c r="CM7" s="12" t="n"/>
      <c r="CN7" s="12" t="n"/>
      <c r="CO7" s="14">
        <f>IF(ISBLANK(C7), "", CM7+CN7)</f>
        <v/>
      </c>
      <c r="CP7" s="25">
        <f>IF(ISBLANK(C7), "", F7+I7+L7+O7+R7+U7+X7+AA7+AD7+AG7+AJ7+AM7+AP7+AS7+AV7+AY7+BB7+BE7+BH7+BK7+BN7+BQ7+BT7+BW7+BZ7+CC7+CF7+CI7+CL7+CO7)</f>
        <v/>
      </c>
      <c r="CQ7" s="17">
        <f>IF(OR(ISBLANK(C7), CP7=""), "", ROUND((CP7/3000)*100, 1))</f>
        <v/>
      </c>
      <c r="CR7" s="14">
        <f>IF(OR(ISBLANK(C7), CP7=""), "", IF(AND(F7&gt;=35, I7&gt;=35, L7&gt;=35, O7&gt;=35, R7&gt;=35, U7&gt;=35, X7&gt;=35, AA7&gt;=35, AD7&gt;=35, AG7&gt;=35, AJ7&gt;=35, AM7&gt;=35, AP7&gt;=35, AS7&gt;=35, AV7&gt;=35, AY7&gt;=35, BB7&gt;=35, BE7&gt;=35, BH7&gt;=35, BK7&gt;=35, BN7&gt;=35, BQ7&gt;=35, BT7&gt;=35, BW7&gt;=35, BZ7&gt;=35, CC7&gt;=35, CF7&gt;=35, CI7&gt;=35, CL7&gt;=35, CO7&gt;=35), "PASS", "FAIL"))</f>
        <v/>
      </c>
      <c r="CS7" s="14">
        <f>IF(OR(ISBLANK(C7), CR7=""), "", IF(CR7="FAIL", "F", IF(CQ7&gt;=90, "A+", IF(CQ7&gt;=80, "A", IF(CQ7&gt;=70, "B", IF(CQ7&gt;=50, "C", "D"))))))</f>
        <v/>
      </c>
      <c r="CT7" s="14">
        <f>IF(OR(ISBLANK(C7), CP7=""), "", RANK(CP7, $CP$6:$CP$30))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5" t="n"/>
      <c r="W8" s="5" t="n"/>
      <c r="X8" s="7">
        <f>IF(ISBLANK(C8), "", V8+W8)</f>
        <v/>
      </c>
      <c r="Y8" s="5" t="n"/>
      <c r="Z8" s="5" t="n"/>
      <c r="AA8" s="7">
        <f>IF(ISBLANK(C8), "", Y8+Z8)</f>
        <v/>
      </c>
      <c r="AB8" s="5" t="n"/>
      <c r="AC8" s="5" t="n"/>
      <c r="AD8" s="7">
        <f>IF(ISBLANK(C8), "", AB8+AC8)</f>
        <v/>
      </c>
      <c r="AE8" s="5" t="n"/>
      <c r="AF8" s="5" t="n"/>
      <c r="AG8" s="7">
        <f>IF(ISBLANK(C8), "", AE8+AF8)</f>
        <v/>
      </c>
      <c r="AH8" s="5" t="n"/>
      <c r="AI8" s="5" t="n"/>
      <c r="AJ8" s="7">
        <f>IF(ISBLANK(C8), "", AH8+AI8)</f>
        <v/>
      </c>
      <c r="AK8" s="5" t="n"/>
      <c r="AL8" s="5" t="n"/>
      <c r="AM8" s="7">
        <f>IF(ISBLANK(C8), "", AK8+AL8)</f>
        <v/>
      </c>
      <c r="AN8" s="5" t="n"/>
      <c r="AO8" s="5" t="n"/>
      <c r="AP8" s="7">
        <f>IF(ISBLANK(C8), "", AN8+AO8)</f>
        <v/>
      </c>
      <c r="AQ8" s="5" t="n"/>
      <c r="AR8" s="5" t="n"/>
      <c r="AS8" s="7">
        <f>IF(ISBLANK(C8), "", AQ8+AR8)</f>
        <v/>
      </c>
      <c r="AT8" s="5" t="n"/>
      <c r="AU8" s="5" t="n"/>
      <c r="AV8" s="7">
        <f>IF(ISBLANK(C8), "", AT8+AU8)</f>
        <v/>
      </c>
      <c r="AW8" s="5" t="n"/>
      <c r="AX8" s="5" t="n"/>
      <c r="AY8" s="7">
        <f>IF(ISBLANK(C8), "", AW8+AX8)</f>
        <v/>
      </c>
      <c r="AZ8" s="5" t="n"/>
      <c r="BA8" s="5" t="n"/>
      <c r="BB8" s="7">
        <f>IF(ISBLANK(C8), "", AZ8+BA8)</f>
        <v/>
      </c>
      <c r="BC8" s="5" t="n"/>
      <c r="BD8" s="5" t="n"/>
      <c r="BE8" s="7">
        <f>IF(ISBLANK(C8), "", BC8+BD8)</f>
        <v/>
      </c>
      <c r="BF8" s="5" t="n"/>
      <c r="BG8" s="5" t="n"/>
      <c r="BH8" s="7">
        <f>IF(ISBLANK(C8), "", BF8+BG8)</f>
        <v/>
      </c>
      <c r="BI8" s="5" t="n"/>
      <c r="BJ8" s="5" t="n"/>
      <c r="BK8" s="7">
        <f>IF(ISBLANK(C8), "", BI8+BJ8)</f>
        <v/>
      </c>
      <c r="BL8" s="5" t="n"/>
      <c r="BM8" s="5" t="n"/>
      <c r="BN8" s="7">
        <f>IF(ISBLANK(C8), "", BL8+BM8)</f>
        <v/>
      </c>
      <c r="BO8" s="5" t="n"/>
      <c r="BP8" s="5" t="n"/>
      <c r="BQ8" s="7">
        <f>IF(ISBLANK(C8), "", BO8+BP8)</f>
        <v/>
      </c>
      <c r="BR8" s="5" t="n"/>
      <c r="BS8" s="5" t="n"/>
      <c r="BT8" s="7">
        <f>IF(ISBLANK(C8), "", BR8+BS8)</f>
        <v/>
      </c>
      <c r="BU8" s="5" t="n"/>
      <c r="BV8" s="5" t="n"/>
      <c r="BW8" s="7">
        <f>IF(ISBLANK(C8), "", BU8+BV8)</f>
        <v/>
      </c>
      <c r="BX8" s="5" t="n"/>
      <c r="BY8" s="5" t="n"/>
      <c r="BZ8" s="7">
        <f>IF(ISBLANK(C8), "", BX8+BY8)</f>
        <v/>
      </c>
      <c r="CA8" s="5" t="n"/>
      <c r="CB8" s="5" t="n"/>
      <c r="CC8" s="7">
        <f>IF(ISBLANK(C8), "", CA8+CB8)</f>
        <v/>
      </c>
      <c r="CD8" s="5" t="n"/>
      <c r="CE8" s="5" t="n"/>
      <c r="CF8" s="7">
        <f>IF(ISBLANK(C8), "", CD8+CE8)</f>
        <v/>
      </c>
      <c r="CG8" s="5" t="n"/>
      <c r="CH8" s="5" t="n"/>
      <c r="CI8" s="7">
        <f>IF(ISBLANK(C8), "", CG8+CH8)</f>
        <v/>
      </c>
      <c r="CJ8" s="5" t="n"/>
      <c r="CK8" s="5" t="n"/>
      <c r="CL8" s="7">
        <f>IF(ISBLANK(C8), "", CJ8+CK8)</f>
        <v/>
      </c>
      <c r="CM8" s="5" t="n"/>
      <c r="CN8" s="5" t="n"/>
      <c r="CO8" s="7">
        <f>IF(ISBLANK(C8), "", CM8+CN8)</f>
        <v/>
      </c>
      <c r="CP8" s="24">
        <f>IF(ISBLANK(C8), "", F8+I8+L8+O8+R8+U8+X8+AA8+AD8+AG8+AJ8+AM8+AP8+AS8+AV8+AY8+BB8+BE8+BH8+BK8+BN8+BQ8+BT8+BW8+BZ8+CC8+CF8+CI8+CL8+CO8)</f>
        <v/>
      </c>
      <c r="CQ8" s="10">
        <f>IF(OR(ISBLANK(C8), CP8=""), "", ROUND((CP8/3000)*100, 1))</f>
        <v/>
      </c>
      <c r="CR8" s="7">
        <f>IF(OR(ISBLANK(C8), CP8=""), "", IF(AND(F8&gt;=35, I8&gt;=35, L8&gt;=35, O8&gt;=35, R8&gt;=35, U8&gt;=35, X8&gt;=35, AA8&gt;=35, AD8&gt;=35, AG8&gt;=35, AJ8&gt;=35, AM8&gt;=35, AP8&gt;=35, AS8&gt;=35, AV8&gt;=35, AY8&gt;=35, BB8&gt;=35, BE8&gt;=35, BH8&gt;=35, BK8&gt;=35, BN8&gt;=35, BQ8&gt;=35, BT8&gt;=35, BW8&gt;=35, BZ8&gt;=35, CC8&gt;=35, CF8&gt;=35, CI8&gt;=35, CL8&gt;=35, CO8&gt;=35), "PASS", "FAIL"))</f>
        <v/>
      </c>
      <c r="CS8" s="7">
        <f>IF(OR(ISBLANK(C8), CR8=""), "", IF(CR8="FAIL", "F", IF(CQ8&gt;=90, "A+", IF(CQ8&gt;=80, "A", IF(CQ8&gt;=70, "B", IF(CQ8&gt;=50, "C", "D"))))))</f>
        <v/>
      </c>
      <c r="CT8" s="7">
        <f>IF(OR(ISBLANK(C8), CP8=""), "", RANK(CP8, $CP$6:$CP$30))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12" t="n"/>
      <c r="W9" s="12" t="n"/>
      <c r="X9" s="14">
        <f>IF(ISBLANK(C9), "", V9+W9)</f>
        <v/>
      </c>
      <c r="Y9" s="12" t="n"/>
      <c r="Z9" s="12" t="n"/>
      <c r="AA9" s="14">
        <f>IF(ISBLANK(C9), "", Y9+Z9)</f>
        <v/>
      </c>
      <c r="AB9" s="12" t="n"/>
      <c r="AC9" s="12" t="n"/>
      <c r="AD9" s="14">
        <f>IF(ISBLANK(C9), "", AB9+AC9)</f>
        <v/>
      </c>
      <c r="AE9" s="12" t="n"/>
      <c r="AF9" s="12" t="n"/>
      <c r="AG9" s="14">
        <f>IF(ISBLANK(C9), "", AE9+AF9)</f>
        <v/>
      </c>
      <c r="AH9" s="12" t="n"/>
      <c r="AI9" s="12" t="n"/>
      <c r="AJ9" s="14">
        <f>IF(ISBLANK(C9), "", AH9+AI9)</f>
        <v/>
      </c>
      <c r="AK9" s="12" t="n"/>
      <c r="AL9" s="12" t="n"/>
      <c r="AM9" s="14">
        <f>IF(ISBLANK(C9), "", AK9+AL9)</f>
        <v/>
      </c>
      <c r="AN9" s="12" t="n"/>
      <c r="AO9" s="12" t="n"/>
      <c r="AP9" s="14">
        <f>IF(ISBLANK(C9), "", AN9+AO9)</f>
        <v/>
      </c>
      <c r="AQ9" s="12" t="n"/>
      <c r="AR9" s="12" t="n"/>
      <c r="AS9" s="14">
        <f>IF(ISBLANK(C9), "", AQ9+AR9)</f>
        <v/>
      </c>
      <c r="AT9" s="12" t="n"/>
      <c r="AU9" s="12" t="n"/>
      <c r="AV9" s="14">
        <f>IF(ISBLANK(C9), "", AT9+AU9)</f>
        <v/>
      </c>
      <c r="AW9" s="12" t="n"/>
      <c r="AX9" s="12" t="n"/>
      <c r="AY9" s="14">
        <f>IF(ISBLANK(C9), "", AW9+AX9)</f>
        <v/>
      </c>
      <c r="AZ9" s="12" t="n"/>
      <c r="BA9" s="12" t="n"/>
      <c r="BB9" s="14">
        <f>IF(ISBLANK(C9), "", AZ9+BA9)</f>
        <v/>
      </c>
      <c r="BC9" s="12" t="n"/>
      <c r="BD9" s="12" t="n"/>
      <c r="BE9" s="14">
        <f>IF(ISBLANK(C9), "", BC9+BD9)</f>
        <v/>
      </c>
      <c r="BF9" s="12" t="n"/>
      <c r="BG9" s="12" t="n"/>
      <c r="BH9" s="14">
        <f>IF(ISBLANK(C9), "", BF9+BG9)</f>
        <v/>
      </c>
      <c r="BI9" s="12" t="n"/>
      <c r="BJ9" s="12" t="n"/>
      <c r="BK9" s="14">
        <f>IF(ISBLANK(C9), "", BI9+BJ9)</f>
        <v/>
      </c>
      <c r="BL9" s="12" t="n"/>
      <c r="BM9" s="12" t="n"/>
      <c r="BN9" s="14">
        <f>IF(ISBLANK(C9), "", BL9+BM9)</f>
        <v/>
      </c>
      <c r="BO9" s="12" t="n"/>
      <c r="BP9" s="12" t="n"/>
      <c r="BQ9" s="14">
        <f>IF(ISBLANK(C9), "", BO9+BP9)</f>
        <v/>
      </c>
      <c r="BR9" s="12" t="n"/>
      <c r="BS9" s="12" t="n"/>
      <c r="BT9" s="14">
        <f>IF(ISBLANK(C9), "", BR9+BS9)</f>
        <v/>
      </c>
      <c r="BU9" s="12" t="n"/>
      <c r="BV9" s="12" t="n"/>
      <c r="BW9" s="14">
        <f>IF(ISBLANK(C9), "", BU9+BV9)</f>
        <v/>
      </c>
      <c r="BX9" s="12" t="n"/>
      <c r="BY9" s="12" t="n"/>
      <c r="BZ9" s="14">
        <f>IF(ISBLANK(C9), "", BX9+BY9)</f>
        <v/>
      </c>
      <c r="CA9" s="12" t="n"/>
      <c r="CB9" s="12" t="n"/>
      <c r="CC9" s="14">
        <f>IF(ISBLANK(C9), "", CA9+CB9)</f>
        <v/>
      </c>
      <c r="CD9" s="12" t="n"/>
      <c r="CE9" s="12" t="n"/>
      <c r="CF9" s="14">
        <f>IF(ISBLANK(C9), "", CD9+CE9)</f>
        <v/>
      </c>
      <c r="CG9" s="12" t="n"/>
      <c r="CH9" s="12" t="n"/>
      <c r="CI9" s="14">
        <f>IF(ISBLANK(C9), "", CG9+CH9)</f>
        <v/>
      </c>
      <c r="CJ9" s="12" t="n"/>
      <c r="CK9" s="12" t="n"/>
      <c r="CL9" s="14">
        <f>IF(ISBLANK(C9), "", CJ9+CK9)</f>
        <v/>
      </c>
      <c r="CM9" s="12" t="n"/>
      <c r="CN9" s="12" t="n"/>
      <c r="CO9" s="14">
        <f>IF(ISBLANK(C9), "", CM9+CN9)</f>
        <v/>
      </c>
      <c r="CP9" s="25">
        <f>IF(ISBLANK(C9), "", F9+I9+L9+O9+R9+U9+X9+AA9+AD9+AG9+AJ9+AM9+AP9+AS9+AV9+AY9+BB9+BE9+BH9+BK9+BN9+BQ9+BT9+BW9+BZ9+CC9+CF9+CI9+CL9+CO9)</f>
        <v/>
      </c>
      <c r="CQ9" s="17">
        <f>IF(OR(ISBLANK(C9), CP9=""), "", ROUND((CP9/3000)*100, 1))</f>
        <v/>
      </c>
      <c r="CR9" s="14">
        <f>IF(OR(ISBLANK(C9), CP9=""), "", IF(AND(F9&gt;=35, I9&gt;=35, L9&gt;=35, O9&gt;=35, R9&gt;=35, U9&gt;=35, X9&gt;=35, AA9&gt;=35, AD9&gt;=35, AG9&gt;=35, AJ9&gt;=35, AM9&gt;=35, AP9&gt;=35, AS9&gt;=35, AV9&gt;=35, AY9&gt;=35, BB9&gt;=35, BE9&gt;=35, BH9&gt;=35, BK9&gt;=35, BN9&gt;=35, BQ9&gt;=35, BT9&gt;=35, BW9&gt;=35, BZ9&gt;=35, CC9&gt;=35, CF9&gt;=35, CI9&gt;=35, CL9&gt;=35, CO9&gt;=35), "PASS", "FAIL"))</f>
        <v/>
      </c>
      <c r="CS9" s="14">
        <f>IF(OR(ISBLANK(C9), CR9=""), "", IF(CR9="FAIL", "F", IF(CQ9&gt;=90, "A+", IF(CQ9&gt;=80, "A", IF(CQ9&gt;=70, "B", IF(CQ9&gt;=50, "C", "D"))))))</f>
        <v/>
      </c>
      <c r="CT9" s="14">
        <f>IF(OR(ISBLANK(C9), CP9=""), "", RANK(CP9, $CP$6:$CP$30))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5" t="n"/>
      <c r="W10" s="5" t="n"/>
      <c r="X10" s="7">
        <f>IF(ISBLANK(C10), "", V10+W10)</f>
        <v/>
      </c>
      <c r="Y10" s="5" t="n"/>
      <c r="Z10" s="5" t="n"/>
      <c r="AA10" s="7">
        <f>IF(ISBLANK(C10), "", Y10+Z10)</f>
        <v/>
      </c>
      <c r="AB10" s="5" t="n"/>
      <c r="AC10" s="5" t="n"/>
      <c r="AD10" s="7">
        <f>IF(ISBLANK(C10), "", AB10+AC10)</f>
        <v/>
      </c>
      <c r="AE10" s="5" t="n"/>
      <c r="AF10" s="5" t="n"/>
      <c r="AG10" s="7">
        <f>IF(ISBLANK(C10), "", AE10+AF10)</f>
        <v/>
      </c>
      <c r="AH10" s="5" t="n"/>
      <c r="AI10" s="5" t="n"/>
      <c r="AJ10" s="7">
        <f>IF(ISBLANK(C10), "", AH10+AI10)</f>
        <v/>
      </c>
      <c r="AK10" s="5" t="n"/>
      <c r="AL10" s="5" t="n"/>
      <c r="AM10" s="7">
        <f>IF(ISBLANK(C10), "", AK10+AL10)</f>
        <v/>
      </c>
      <c r="AN10" s="5" t="n"/>
      <c r="AO10" s="5" t="n"/>
      <c r="AP10" s="7">
        <f>IF(ISBLANK(C10), "", AN10+AO10)</f>
        <v/>
      </c>
      <c r="AQ10" s="5" t="n"/>
      <c r="AR10" s="5" t="n"/>
      <c r="AS10" s="7">
        <f>IF(ISBLANK(C10), "", AQ10+AR10)</f>
        <v/>
      </c>
      <c r="AT10" s="5" t="n"/>
      <c r="AU10" s="5" t="n"/>
      <c r="AV10" s="7">
        <f>IF(ISBLANK(C10), "", AT10+AU10)</f>
        <v/>
      </c>
      <c r="AW10" s="5" t="n"/>
      <c r="AX10" s="5" t="n"/>
      <c r="AY10" s="7">
        <f>IF(ISBLANK(C10), "", AW10+AX10)</f>
        <v/>
      </c>
      <c r="AZ10" s="5" t="n"/>
      <c r="BA10" s="5" t="n"/>
      <c r="BB10" s="7">
        <f>IF(ISBLANK(C10), "", AZ10+BA10)</f>
        <v/>
      </c>
      <c r="BC10" s="5" t="n"/>
      <c r="BD10" s="5" t="n"/>
      <c r="BE10" s="7">
        <f>IF(ISBLANK(C10), "", BC10+BD10)</f>
        <v/>
      </c>
      <c r="BF10" s="5" t="n"/>
      <c r="BG10" s="5" t="n"/>
      <c r="BH10" s="7">
        <f>IF(ISBLANK(C10), "", BF10+BG10)</f>
        <v/>
      </c>
      <c r="BI10" s="5" t="n"/>
      <c r="BJ10" s="5" t="n"/>
      <c r="BK10" s="7">
        <f>IF(ISBLANK(C10), "", BI10+BJ10)</f>
        <v/>
      </c>
      <c r="BL10" s="5" t="n"/>
      <c r="BM10" s="5" t="n"/>
      <c r="BN10" s="7">
        <f>IF(ISBLANK(C10), "", BL10+BM10)</f>
        <v/>
      </c>
      <c r="BO10" s="5" t="n"/>
      <c r="BP10" s="5" t="n"/>
      <c r="BQ10" s="7">
        <f>IF(ISBLANK(C10), "", BO10+BP10)</f>
        <v/>
      </c>
      <c r="BR10" s="5" t="n"/>
      <c r="BS10" s="5" t="n"/>
      <c r="BT10" s="7">
        <f>IF(ISBLANK(C10), "", BR10+BS10)</f>
        <v/>
      </c>
      <c r="BU10" s="5" t="n"/>
      <c r="BV10" s="5" t="n"/>
      <c r="BW10" s="7">
        <f>IF(ISBLANK(C10), "", BU10+BV10)</f>
        <v/>
      </c>
      <c r="BX10" s="5" t="n"/>
      <c r="BY10" s="5" t="n"/>
      <c r="BZ10" s="7">
        <f>IF(ISBLANK(C10), "", BX10+BY10)</f>
        <v/>
      </c>
      <c r="CA10" s="5" t="n"/>
      <c r="CB10" s="5" t="n"/>
      <c r="CC10" s="7">
        <f>IF(ISBLANK(C10), "", CA10+CB10)</f>
        <v/>
      </c>
      <c r="CD10" s="5" t="n"/>
      <c r="CE10" s="5" t="n"/>
      <c r="CF10" s="7">
        <f>IF(ISBLANK(C10), "", CD10+CE10)</f>
        <v/>
      </c>
      <c r="CG10" s="5" t="n"/>
      <c r="CH10" s="5" t="n"/>
      <c r="CI10" s="7">
        <f>IF(ISBLANK(C10), "", CG10+CH10)</f>
        <v/>
      </c>
      <c r="CJ10" s="5" t="n"/>
      <c r="CK10" s="5" t="n"/>
      <c r="CL10" s="7">
        <f>IF(ISBLANK(C10), "", CJ10+CK10)</f>
        <v/>
      </c>
      <c r="CM10" s="5" t="n"/>
      <c r="CN10" s="5" t="n"/>
      <c r="CO10" s="7">
        <f>IF(ISBLANK(C10), "", CM10+CN10)</f>
        <v/>
      </c>
      <c r="CP10" s="24">
        <f>IF(ISBLANK(C10), "", F10+I10+L10+O10+R10+U10+X10+AA10+AD10+AG10+AJ10+AM10+AP10+AS10+AV10+AY10+BB10+BE10+BH10+BK10+BN10+BQ10+BT10+BW10+BZ10+CC10+CF10+CI10+CL10+CO10)</f>
        <v/>
      </c>
      <c r="CQ10" s="10">
        <f>IF(OR(ISBLANK(C10), CP10=""), "", ROUND((CP10/3000)*100, 1))</f>
        <v/>
      </c>
      <c r="CR10" s="7">
        <f>IF(OR(ISBLANK(C10), CP10=""), "", IF(AND(F10&gt;=35, I10&gt;=35, L10&gt;=35, O10&gt;=35, R10&gt;=35, U10&gt;=35, X10&gt;=35, AA10&gt;=35, AD10&gt;=35, AG10&gt;=35, AJ10&gt;=35, AM10&gt;=35, AP10&gt;=35, AS10&gt;=35, AV10&gt;=35, AY10&gt;=35, BB10&gt;=35, BE10&gt;=35, BH10&gt;=35, BK10&gt;=35, BN10&gt;=35, BQ10&gt;=35, BT10&gt;=35, BW10&gt;=35, BZ10&gt;=35, CC10&gt;=35, CF10&gt;=35, CI10&gt;=35, CL10&gt;=35, CO10&gt;=35), "PASS", "FAIL"))</f>
        <v/>
      </c>
      <c r="CS10" s="7">
        <f>IF(OR(ISBLANK(C10), CR10=""), "", IF(CR10="FAIL", "F", IF(CQ10&gt;=90, "A+", IF(CQ10&gt;=80, "A", IF(CQ10&gt;=70, "B", IF(CQ10&gt;=50, "C", "D"))))))</f>
        <v/>
      </c>
      <c r="CT10" s="7">
        <f>IF(OR(ISBLANK(C10), CP10=""), "", RANK(CP10, $CP$6:$CP$30))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12" t="n"/>
      <c r="W11" s="12" t="n"/>
      <c r="X11" s="14">
        <f>IF(ISBLANK(C11), "", V11+W11)</f>
        <v/>
      </c>
      <c r="Y11" s="12" t="n"/>
      <c r="Z11" s="12" t="n"/>
      <c r="AA11" s="14">
        <f>IF(ISBLANK(C11), "", Y11+Z11)</f>
        <v/>
      </c>
      <c r="AB11" s="12" t="n"/>
      <c r="AC11" s="12" t="n"/>
      <c r="AD11" s="14">
        <f>IF(ISBLANK(C11), "", AB11+AC11)</f>
        <v/>
      </c>
      <c r="AE11" s="12" t="n"/>
      <c r="AF11" s="12" t="n"/>
      <c r="AG11" s="14">
        <f>IF(ISBLANK(C11), "", AE11+AF11)</f>
        <v/>
      </c>
      <c r="AH11" s="12" t="n"/>
      <c r="AI11" s="12" t="n"/>
      <c r="AJ11" s="14">
        <f>IF(ISBLANK(C11), "", AH11+AI11)</f>
        <v/>
      </c>
      <c r="AK11" s="12" t="n"/>
      <c r="AL11" s="12" t="n"/>
      <c r="AM11" s="14">
        <f>IF(ISBLANK(C11), "", AK11+AL11)</f>
        <v/>
      </c>
      <c r="AN11" s="12" t="n"/>
      <c r="AO11" s="12" t="n"/>
      <c r="AP11" s="14">
        <f>IF(ISBLANK(C11), "", AN11+AO11)</f>
        <v/>
      </c>
      <c r="AQ11" s="12" t="n"/>
      <c r="AR11" s="12" t="n"/>
      <c r="AS11" s="14">
        <f>IF(ISBLANK(C11), "", AQ11+AR11)</f>
        <v/>
      </c>
      <c r="AT11" s="12" t="n"/>
      <c r="AU11" s="12" t="n"/>
      <c r="AV11" s="14">
        <f>IF(ISBLANK(C11), "", AT11+AU11)</f>
        <v/>
      </c>
      <c r="AW11" s="12" t="n"/>
      <c r="AX11" s="12" t="n"/>
      <c r="AY11" s="14">
        <f>IF(ISBLANK(C11), "", AW11+AX11)</f>
        <v/>
      </c>
      <c r="AZ11" s="12" t="n"/>
      <c r="BA11" s="12" t="n"/>
      <c r="BB11" s="14">
        <f>IF(ISBLANK(C11), "", AZ11+BA11)</f>
        <v/>
      </c>
      <c r="BC11" s="12" t="n"/>
      <c r="BD11" s="12" t="n"/>
      <c r="BE11" s="14">
        <f>IF(ISBLANK(C11), "", BC11+BD11)</f>
        <v/>
      </c>
      <c r="BF11" s="12" t="n"/>
      <c r="BG11" s="12" t="n"/>
      <c r="BH11" s="14">
        <f>IF(ISBLANK(C11), "", BF11+BG11)</f>
        <v/>
      </c>
      <c r="BI11" s="12" t="n"/>
      <c r="BJ11" s="12" t="n"/>
      <c r="BK11" s="14">
        <f>IF(ISBLANK(C11), "", BI11+BJ11)</f>
        <v/>
      </c>
      <c r="BL11" s="12" t="n"/>
      <c r="BM11" s="12" t="n"/>
      <c r="BN11" s="14">
        <f>IF(ISBLANK(C11), "", BL11+BM11)</f>
        <v/>
      </c>
      <c r="BO11" s="12" t="n"/>
      <c r="BP11" s="12" t="n"/>
      <c r="BQ11" s="14">
        <f>IF(ISBLANK(C11), "", BO11+BP11)</f>
        <v/>
      </c>
      <c r="BR11" s="12" t="n"/>
      <c r="BS11" s="12" t="n"/>
      <c r="BT11" s="14">
        <f>IF(ISBLANK(C11), "", BR11+BS11)</f>
        <v/>
      </c>
      <c r="BU11" s="12" t="n"/>
      <c r="BV11" s="12" t="n"/>
      <c r="BW11" s="14">
        <f>IF(ISBLANK(C11), "", BU11+BV11)</f>
        <v/>
      </c>
      <c r="BX11" s="12" t="n"/>
      <c r="BY11" s="12" t="n"/>
      <c r="BZ11" s="14">
        <f>IF(ISBLANK(C11), "", BX11+BY11)</f>
        <v/>
      </c>
      <c r="CA11" s="12" t="n"/>
      <c r="CB11" s="12" t="n"/>
      <c r="CC11" s="14">
        <f>IF(ISBLANK(C11), "", CA11+CB11)</f>
        <v/>
      </c>
      <c r="CD11" s="12" t="n"/>
      <c r="CE11" s="12" t="n"/>
      <c r="CF11" s="14">
        <f>IF(ISBLANK(C11), "", CD11+CE11)</f>
        <v/>
      </c>
      <c r="CG11" s="12" t="n"/>
      <c r="CH11" s="12" t="n"/>
      <c r="CI11" s="14">
        <f>IF(ISBLANK(C11), "", CG11+CH11)</f>
        <v/>
      </c>
      <c r="CJ11" s="12" t="n"/>
      <c r="CK11" s="12" t="n"/>
      <c r="CL11" s="14">
        <f>IF(ISBLANK(C11), "", CJ11+CK11)</f>
        <v/>
      </c>
      <c r="CM11" s="12" t="n"/>
      <c r="CN11" s="12" t="n"/>
      <c r="CO11" s="14">
        <f>IF(ISBLANK(C11), "", CM11+CN11)</f>
        <v/>
      </c>
      <c r="CP11" s="25">
        <f>IF(ISBLANK(C11), "", F11+I11+L11+O11+R11+U11+X11+AA11+AD11+AG11+AJ11+AM11+AP11+AS11+AV11+AY11+BB11+BE11+BH11+BK11+BN11+BQ11+BT11+BW11+BZ11+CC11+CF11+CI11+CL11+CO11)</f>
        <v/>
      </c>
      <c r="CQ11" s="17">
        <f>IF(OR(ISBLANK(C11), CP11=""), "", ROUND((CP11/3000)*100, 1))</f>
        <v/>
      </c>
      <c r="CR11" s="14">
        <f>IF(OR(ISBLANK(C11), CP11=""), "", IF(AND(F11&gt;=35, I11&gt;=35, L11&gt;=35, O11&gt;=35, R11&gt;=35, U11&gt;=35, X11&gt;=35, AA11&gt;=35, AD11&gt;=35, AG11&gt;=35, AJ11&gt;=35, AM11&gt;=35, AP11&gt;=35, AS11&gt;=35, AV11&gt;=35, AY11&gt;=35, BB11&gt;=35, BE11&gt;=35, BH11&gt;=35, BK11&gt;=35, BN11&gt;=35, BQ11&gt;=35, BT11&gt;=35, BW11&gt;=35, BZ11&gt;=35, CC11&gt;=35, CF11&gt;=35, CI11&gt;=35, CL11&gt;=35, CO11&gt;=35), "PASS", "FAIL"))</f>
        <v/>
      </c>
      <c r="CS11" s="14">
        <f>IF(OR(ISBLANK(C11), CR11=""), "", IF(CR11="FAIL", "F", IF(CQ11&gt;=90, "A+", IF(CQ11&gt;=80, "A", IF(CQ11&gt;=70, "B", IF(CQ11&gt;=50, "C", "D"))))))</f>
        <v/>
      </c>
      <c r="CT11" s="14">
        <f>IF(OR(ISBLANK(C11), CP11=""), "", RANK(CP11, $CP$6:$CP$30))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5" t="n"/>
      <c r="W12" s="5" t="n"/>
      <c r="X12" s="7">
        <f>IF(ISBLANK(C12), "", V12+W12)</f>
        <v/>
      </c>
      <c r="Y12" s="5" t="n"/>
      <c r="Z12" s="5" t="n"/>
      <c r="AA12" s="7">
        <f>IF(ISBLANK(C12), "", Y12+Z12)</f>
        <v/>
      </c>
      <c r="AB12" s="5" t="n"/>
      <c r="AC12" s="5" t="n"/>
      <c r="AD12" s="7">
        <f>IF(ISBLANK(C12), "", AB12+AC12)</f>
        <v/>
      </c>
      <c r="AE12" s="5" t="n"/>
      <c r="AF12" s="5" t="n"/>
      <c r="AG12" s="7">
        <f>IF(ISBLANK(C12), "", AE12+AF12)</f>
        <v/>
      </c>
      <c r="AH12" s="5" t="n"/>
      <c r="AI12" s="5" t="n"/>
      <c r="AJ12" s="7">
        <f>IF(ISBLANK(C12), "", AH12+AI12)</f>
        <v/>
      </c>
      <c r="AK12" s="5" t="n"/>
      <c r="AL12" s="5" t="n"/>
      <c r="AM12" s="7">
        <f>IF(ISBLANK(C12), "", AK12+AL12)</f>
        <v/>
      </c>
      <c r="AN12" s="5" t="n"/>
      <c r="AO12" s="5" t="n"/>
      <c r="AP12" s="7">
        <f>IF(ISBLANK(C12), "", AN12+AO12)</f>
        <v/>
      </c>
      <c r="AQ12" s="5" t="n"/>
      <c r="AR12" s="5" t="n"/>
      <c r="AS12" s="7">
        <f>IF(ISBLANK(C12), "", AQ12+AR12)</f>
        <v/>
      </c>
      <c r="AT12" s="5" t="n"/>
      <c r="AU12" s="5" t="n"/>
      <c r="AV12" s="7">
        <f>IF(ISBLANK(C12), "", AT12+AU12)</f>
        <v/>
      </c>
      <c r="AW12" s="5" t="n"/>
      <c r="AX12" s="5" t="n"/>
      <c r="AY12" s="7">
        <f>IF(ISBLANK(C12), "", AW12+AX12)</f>
        <v/>
      </c>
      <c r="AZ12" s="5" t="n"/>
      <c r="BA12" s="5" t="n"/>
      <c r="BB12" s="7">
        <f>IF(ISBLANK(C12), "", AZ12+BA12)</f>
        <v/>
      </c>
      <c r="BC12" s="5" t="n"/>
      <c r="BD12" s="5" t="n"/>
      <c r="BE12" s="7">
        <f>IF(ISBLANK(C12), "", BC12+BD12)</f>
        <v/>
      </c>
      <c r="BF12" s="5" t="n"/>
      <c r="BG12" s="5" t="n"/>
      <c r="BH12" s="7">
        <f>IF(ISBLANK(C12), "", BF12+BG12)</f>
        <v/>
      </c>
      <c r="BI12" s="5" t="n"/>
      <c r="BJ12" s="5" t="n"/>
      <c r="BK12" s="7">
        <f>IF(ISBLANK(C12), "", BI12+BJ12)</f>
        <v/>
      </c>
      <c r="BL12" s="5" t="n"/>
      <c r="BM12" s="5" t="n"/>
      <c r="BN12" s="7">
        <f>IF(ISBLANK(C12), "", BL12+BM12)</f>
        <v/>
      </c>
      <c r="BO12" s="5" t="n"/>
      <c r="BP12" s="5" t="n"/>
      <c r="BQ12" s="7">
        <f>IF(ISBLANK(C12), "", BO12+BP12)</f>
        <v/>
      </c>
      <c r="BR12" s="5" t="n"/>
      <c r="BS12" s="5" t="n"/>
      <c r="BT12" s="7">
        <f>IF(ISBLANK(C12), "", BR12+BS12)</f>
        <v/>
      </c>
      <c r="BU12" s="5" t="n"/>
      <c r="BV12" s="5" t="n"/>
      <c r="BW12" s="7">
        <f>IF(ISBLANK(C12), "", BU12+BV12)</f>
        <v/>
      </c>
      <c r="BX12" s="5" t="n"/>
      <c r="BY12" s="5" t="n"/>
      <c r="BZ12" s="7">
        <f>IF(ISBLANK(C12), "", BX12+BY12)</f>
        <v/>
      </c>
      <c r="CA12" s="5" t="n"/>
      <c r="CB12" s="5" t="n"/>
      <c r="CC12" s="7">
        <f>IF(ISBLANK(C12), "", CA12+CB12)</f>
        <v/>
      </c>
      <c r="CD12" s="5" t="n"/>
      <c r="CE12" s="5" t="n"/>
      <c r="CF12" s="7">
        <f>IF(ISBLANK(C12), "", CD12+CE12)</f>
        <v/>
      </c>
      <c r="CG12" s="5" t="n"/>
      <c r="CH12" s="5" t="n"/>
      <c r="CI12" s="7">
        <f>IF(ISBLANK(C12), "", CG12+CH12)</f>
        <v/>
      </c>
      <c r="CJ12" s="5" t="n"/>
      <c r="CK12" s="5" t="n"/>
      <c r="CL12" s="7">
        <f>IF(ISBLANK(C12), "", CJ12+CK12)</f>
        <v/>
      </c>
      <c r="CM12" s="5" t="n"/>
      <c r="CN12" s="5" t="n"/>
      <c r="CO12" s="7">
        <f>IF(ISBLANK(C12), "", CM12+CN12)</f>
        <v/>
      </c>
      <c r="CP12" s="24">
        <f>IF(ISBLANK(C12), "", F12+I12+L12+O12+R12+U12+X12+AA12+AD12+AG12+AJ12+AM12+AP12+AS12+AV12+AY12+BB12+BE12+BH12+BK12+BN12+BQ12+BT12+BW12+BZ12+CC12+CF12+CI12+CL12+CO12)</f>
        <v/>
      </c>
      <c r="CQ12" s="10">
        <f>IF(OR(ISBLANK(C12), CP12=""), "", ROUND((CP12/3000)*100, 1))</f>
        <v/>
      </c>
      <c r="CR12" s="7">
        <f>IF(OR(ISBLANK(C12), CP12=""), "", IF(AND(F12&gt;=35, I12&gt;=35, L12&gt;=35, O12&gt;=35, R12&gt;=35, U12&gt;=35, X12&gt;=35, AA12&gt;=35, AD12&gt;=35, AG12&gt;=35, AJ12&gt;=35, AM12&gt;=35, AP12&gt;=35, AS12&gt;=35, AV12&gt;=35, AY12&gt;=35, BB12&gt;=35, BE12&gt;=35, BH12&gt;=35, BK12&gt;=35, BN12&gt;=35, BQ12&gt;=35, BT12&gt;=35, BW12&gt;=35, BZ12&gt;=35, CC12&gt;=35, CF12&gt;=35, CI12&gt;=35, CL12&gt;=35, CO12&gt;=35), "PASS", "FAIL"))</f>
        <v/>
      </c>
      <c r="CS12" s="7">
        <f>IF(OR(ISBLANK(C12), CR12=""), "", IF(CR12="FAIL", "F", IF(CQ12&gt;=90, "A+", IF(CQ12&gt;=80, "A", IF(CQ12&gt;=70, "B", IF(CQ12&gt;=50, "C", "D"))))))</f>
        <v/>
      </c>
      <c r="CT12" s="7">
        <f>IF(OR(ISBLANK(C12), CP12=""), "", RANK(CP12, $CP$6:$CP$30))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12" t="n"/>
      <c r="W13" s="12" t="n"/>
      <c r="X13" s="14">
        <f>IF(ISBLANK(C13), "", V13+W13)</f>
        <v/>
      </c>
      <c r="Y13" s="12" t="n"/>
      <c r="Z13" s="12" t="n"/>
      <c r="AA13" s="14">
        <f>IF(ISBLANK(C13), "", Y13+Z13)</f>
        <v/>
      </c>
      <c r="AB13" s="12" t="n"/>
      <c r="AC13" s="12" t="n"/>
      <c r="AD13" s="14">
        <f>IF(ISBLANK(C13), "", AB13+AC13)</f>
        <v/>
      </c>
      <c r="AE13" s="12" t="n"/>
      <c r="AF13" s="12" t="n"/>
      <c r="AG13" s="14">
        <f>IF(ISBLANK(C13), "", AE13+AF13)</f>
        <v/>
      </c>
      <c r="AH13" s="12" t="n"/>
      <c r="AI13" s="12" t="n"/>
      <c r="AJ13" s="14">
        <f>IF(ISBLANK(C13), "", AH13+AI13)</f>
        <v/>
      </c>
      <c r="AK13" s="12" t="n"/>
      <c r="AL13" s="12" t="n"/>
      <c r="AM13" s="14">
        <f>IF(ISBLANK(C13), "", AK13+AL13)</f>
        <v/>
      </c>
      <c r="AN13" s="12" t="n"/>
      <c r="AO13" s="12" t="n"/>
      <c r="AP13" s="14">
        <f>IF(ISBLANK(C13), "", AN13+AO13)</f>
        <v/>
      </c>
      <c r="AQ13" s="12" t="n"/>
      <c r="AR13" s="12" t="n"/>
      <c r="AS13" s="14">
        <f>IF(ISBLANK(C13), "", AQ13+AR13)</f>
        <v/>
      </c>
      <c r="AT13" s="12" t="n"/>
      <c r="AU13" s="12" t="n"/>
      <c r="AV13" s="14">
        <f>IF(ISBLANK(C13), "", AT13+AU13)</f>
        <v/>
      </c>
      <c r="AW13" s="12" t="n"/>
      <c r="AX13" s="12" t="n"/>
      <c r="AY13" s="14">
        <f>IF(ISBLANK(C13), "", AW13+AX13)</f>
        <v/>
      </c>
      <c r="AZ13" s="12" t="n"/>
      <c r="BA13" s="12" t="n"/>
      <c r="BB13" s="14">
        <f>IF(ISBLANK(C13), "", AZ13+BA13)</f>
        <v/>
      </c>
      <c r="BC13" s="12" t="n"/>
      <c r="BD13" s="12" t="n"/>
      <c r="BE13" s="14">
        <f>IF(ISBLANK(C13), "", BC13+BD13)</f>
        <v/>
      </c>
      <c r="BF13" s="12" t="n"/>
      <c r="BG13" s="12" t="n"/>
      <c r="BH13" s="14">
        <f>IF(ISBLANK(C13), "", BF13+BG13)</f>
        <v/>
      </c>
      <c r="BI13" s="12" t="n"/>
      <c r="BJ13" s="12" t="n"/>
      <c r="BK13" s="14">
        <f>IF(ISBLANK(C13), "", BI13+BJ13)</f>
        <v/>
      </c>
      <c r="BL13" s="12" t="n"/>
      <c r="BM13" s="12" t="n"/>
      <c r="BN13" s="14">
        <f>IF(ISBLANK(C13), "", BL13+BM13)</f>
        <v/>
      </c>
      <c r="BO13" s="12" t="n"/>
      <c r="BP13" s="12" t="n"/>
      <c r="BQ13" s="14">
        <f>IF(ISBLANK(C13), "", BO13+BP13)</f>
        <v/>
      </c>
      <c r="BR13" s="12" t="n"/>
      <c r="BS13" s="12" t="n"/>
      <c r="BT13" s="14">
        <f>IF(ISBLANK(C13), "", BR13+BS13)</f>
        <v/>
      </c>
      <c r="BU13" s="12" t="n"/>
      <c r="BV13" s="12" t="n"/>
      <c r="BW13" s="14">
        <f>IF(ISBLANK(C13), "", BU13+BV13)</f>
        <v/>
      </c>
      <c r="BX13" s="12" t="n"/>
      <c r="BY13" s="12" t="n"/>
      <c r="BZ13" s="14">
        <f>IF(ISBLANK(C13), "", BX13+BY13)</f>
        <v/>
      </c>
      <c r="CA13" s="12" t="n"/>
      <c r="CB13" s="12" t="n"/>
      <c r="CC13" s="14">
        <f>IF(ISBLANK(C13), "", CA13+CB13)</f>
        <v/>
      </c>
      <c r="CD13" s="12" t="n"/>
      <c r="CE13" s="12" t="n"/>
      <c r="CF13" s="14">
        <f>IF(ISBLANK(C13), "", CD13+CE13)</f>
        <v/>
      </c>
      <c r="CG13" s="12" t="n"/>
      <c r="CH13" s="12" t="n"/>
      <c r="CI13" s="14">
        <f>IF(ISBLANK(C13), "", CG13+CH13)</f>
        <v/>
      </c>
      <c r="CJ13" s="12" t="n"/>
      <c r="CK13" s="12" t="n"/>
      <c r="CL13" s="14">
        <f>IF(ISBLANK(C13), "", CJ13+CK13)</f>
        <v/>
      </c>
      <c r="CM13" s="12" t="n"/>
      <c r="CN13" s="12" t="n"/>
      <c r="CO13" s="14">
        <f>IF(ISBLANK(C13), "", CM13+CN13)</f>
        <v/>
      </c>
      <c r="CP13" s="25">
        <f>IF(ISBLANK(C13), "", F13+I13+L13+O13+R13+U13+X13+AA13+AD13+AG13+AJ13+AM13+AP13+AS13+AV13+AY13+BB13+BE13+BH13+BK13+BN13+BQ13+BT13+BW13+BZ13+CC13+CF13+CI13+CL13+CO13)</f>
        <v/>
      </c>
      <c r="CQ13" s="17">
        <f>IF(OR(ISBLANK(C13), CP13=""), "", ROUND((CP13/3000)*100, 1))</f>
        <v/>
      </c>
      <c r="CR13" s="14">
        <f>IF(OR(ISBLANK(C13), CP13=""), "", IF(AND(F13&gt;=35, I13&gt;=35, L13&gt;=35, O13&gt;=35, R13&gt;=35, U13&gt;=35, X13&gt;=35, AA13&gt;=35, AD13&gt;=35, AG13&gt;=35, AJ13&gt;=35, AM13&gt;=35, AP13&gt;=35, AS13&gt;=35, AV13&gt;=35, AY13&gt;=35, BB13&gt;=35, BE13&gt;=35, BH13&gt;=35, BK13&gt;=35, BN13&gt;=35, BQ13&gt;=35, BT13&gt;=35, BW13&gt;=35, BZ13&gt;=35, CC13&gt;=35, CF13&gt;=35, CI13&gt;=35, CL13&gt;=35, CO13&gt;=35), "PASS", "FAIL"))</f>
        <v/>
      </c>
      <c r="CS13" s="14">
        <f>IF(OR(ISBLANK(C13), CR13=""), "", IF(CR13="FAIL", "F", IF(CQ13&gt;=90, "A+", IF(CQ13&gt;=80, "A", IF(CQ13&gt;=70, "B", IF(CQ13&gt;=50, "C", "D"))))))</f>
        <v/>
      </c>
      <c r="CT13" s="14">
        <f>IF(OR(ISBLANK(C13), CP13=""), "", RANK(CP13, $CP$6:$CP$30))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5" t="n"/>
      <c r="W14" s="5" t="n"/>
      <c r="X14" s="7">
        <f>IF(ISBLANK(C14), "", V14+W14)</f>
        <v/>
      </c>
      <c r="Y14" s="5" t="n"/>
      <c r="Z14" s="5" t="n"/>
      <c r="AA14" s="7">
        <f>IF(ISBLANK(C14), "", Y14+Z14)</f>
        <v/>
      </c>
      <c r="AB14" s="5" t="n"/>
      <c r="AC14" s="5" t="n"/>
      <c r="AD14" s="7">
        <f>IF(ISBLANK(C14), "", AB14+AC14)</f>
        <v/>
      </c>
      <c r="AE14" s="5" t="n"/>
      <c r="AF14" s="5" t="n"/>
      <c r="AG14" s="7">
        <f>IF(ISBLANK(C14), "", AE14+AF14)</f>
        <v/>
      </c>
      <c r="AH14" s="5" t="n"/>
      <c r="AI14" s="5" t="n"/>
      <c r="AJ14" s="7">
        <f>IF(ISBLANK(C14), "", AH14+AI14)</f>
        <v/>
      </c>
      <c r="AK14" s="5" t="n"/>
      <c r="AL14" s="5" t="n"/>
      <c r="AM14" s="7">
        <f>IF(ISBLANK(C14), "", AK14+AL14)</f>
        <v/>
      </c>
      <c r="AN14" s="5" t="n"/>
      <c r="AO14" s="5" t="n"/>
      <c r="AP14" s="7">
        <f>IF(ISBLANK(C14), "", AN14+AO14)</f>
        <v/>
      </c>
      <c r="AQ14" s="5" t="n"/>
      <c r="AR14" s="5" t="n"/>
      <c r="AS14" s="7">
        <f>IF(ISBLANK(C14), "", AQ14+AR14)</f>
        <v/>
      </c>
      <c r="AT14" s="5" t="n"/>
      <c r="AU14" s="5" t="n"/>
      <c r="AV14" s="7">
        <f>IF(ISBLANK(C14), "", AT14+AU14)</f>
        <v/>
      </c>
      <c r="AW14" s="5" t="n"/>
      <c r="AX14" s="5" t="n"/>
      <c r="AY14" s="7">
        <f>IF(ISBLANK(C14), "", AW14+AX14)</f>
        <v/>
      </c>
      <c r="AZ14" s="5" t="n"/>
      <c r="BA14" s="5" t="n"/>
      <c r="BB14" s="7">
        <f>IF(ISBLANK(C14), "", AZ14+BA14)</f>
        <v/>
      </c>
      <c r="BC14" s="5" t="n"/>
      <c r="BD14" s="5" t="n"/>
      <c r="BE14" s="7">
        <f>IF(ISBLANK(C14), "", BC14+BD14)</f>
        <v/>
      </c>
      <c r="BF14" s="5" t="n"/>
      <c r="BG14" s="5" t="n"/>
      <c r="BH14" s="7">
        <f>IF(ISBLANK(C14), "", BF14+BG14)</f>
        <v/>
      </c>
      <c r="BI14" s="5" t="n"/>
      <c r="BJ14" s="5" t="n"/>
      <c r="BK14" s="7">
        <f>IF(ISBLANK(C14), "", BI14+BJ14)</f>
        <v/>
      </c>
      <c r="BL14" s="5" t="n"/>
      <c r="BM14" s="5" t="n"/>
      <c r="BN14" s="7">
        <f>IF(ISBLANK(C14), "", BL14+BM14)</f>
        <v/>
      </c>
      <c r="BO14" s="5" t="n"/>
      <c r="BP14" s="5" t="n"/>
      <c r="BQ14" s="7">
        <f>IF(ISBLANK(C14), "", BO14+BP14)</f>
        <v/>
      </c>
      <c r="BR14" s="5" t="n"/>
      <c r="BS14" s="5" t="n"/>
      <c r="BT14" s="7">
        <f>IF(ISBLANK(C14), "", BR14+BS14)</f>
        <v/>
      </c>
      <c r="BU14" s="5" t="n"/>
      <c r="BV14" s="5" t="n"/>
      <c r="BW14" s="7">
        <f>IF(ISBLANK(C14), "", BU14+BV14)</f>
        <v/>
      </c>
      <c r="BX14" s="5" t="n"/>
      <c r="BY14" s="5" t="n"/>
      <c r="BZ14" s="7">
        <f>IF(ISBLANK(C14), "", BX14+BY14)</f>
        <v/>
      </c>
      <c r="CA14" s="5" t="n"/>
      <c r="CB14" s="5" t="n"/>
      <c r="CC14" s="7">
        <f>IF(ISBLANK(C14), "", CA14+CB14)</f>
        <v/>
      </c>
      <c r="CD14" s="5" t="n"/>
      <c r="CE14" s="5" t="n"/>
      <c r="CF14" s="7">
        <f>IF(ISBLANK(C14), "", CD14+CE14)</f>
        <v/>
      </c>
      <c r="CG14" s="5" t="n"/>
      <c r="CH14" s="5" t="n"/>
      <c r="CI14" s="7">
        <f>IF(ISBLANK(C14), "", CG14+CH14)</f>
        <v/>
      </c>
      <c r="CJ14" s="5" t="n"/>
      <c r="CK14" s="5" t="n"/>
      <c r="CL14" s="7">
        <f>IF(ISBLANK(C14), "", CJ14+CK14)</f>
        <v/>
      </c>
      <c r="CM14" s="5" t="n"/>
      <c r="CN14" s="5" t="n"/>
      <c r="CO14" s="7">
        <f>IF(ISBLANK(C14), "", CM14+CN14)</f>
        <v/>
      </c>
      <c r="CP14" s="24">
        <f>IF(ISBLANK(C14), "", F14+I14+L14+O14+R14+U14+X14+AA14+AD14+AG14+AJ14+AM14+AP14+AS14+AV14+AY14+BB14+BE14+BH14+BK14+BN14+BQ14+BT14+BW14+BZ14+CC14+CF14+CI14+CL14+CO14)</f>
        <v/>
      </c>
      <c r="CQ14" s="10">
        <f>IF(OR(ISBLANK(C14), CP14=""), "", ROUND((CP14/3000)*100, 1))</f>
        <v/>
      </c>
      <c r="CR14" s="7">
        <f>IF(OR(ISBLANK(C14), CP14=""), "", IF(AND(F14&gt;=35, I14&gt;=35, L14&gt;=35, O14&gt;=35, R14&gt;=35, U14&gt;=35, X14&gt;=35, AA14&gt;=35, AD14&gt;=35, AG14&gt;=35, AJ14&gt;=35, AM14&gt;=35, AP14&gt;=35, AS14&gt;=35, AV14&gt;=35, AY14&gt;=35, BB14&gt;=35, BE14&gt;=35, BH14&gt;=35, BK14&gt;=35, BN14&gt;=35, BQ14&gt;=35, BT14&gt;=35, BW14&gt;=35, BZ14&gt;=35, CC14&gt;=35, CF14&gt;=35, CI14&gt;=35, CL14&gt;=35, CO14&gt;=35), "PASS", "FAIL"))</f>
        <v/>
      </c>
      <c r="CS14" s="7">
        <f>IF(OR(ISBLANK(C14), CR14=""), "", IF(CR14="FAIL", "F", IF(CQ14&gt;=90, "A+", IF(CQ14&gt;=80, "A", IF(CQ14&gt;=70, "B", IF(CQ14&gt;=50, "C", "D"))))))</f>
        <v/>
      </c>
      <c r="CT14" s="7">
        <f>IF(OR(ISBLANK(C14), CP14=""), "", RANK(CP14, $CP$6:$CP$30))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12" t="n"/>
      <c r="W15" s="12" t="n"/>
      <c r="X15" s="14">
        <f>IF(ISBLANK(C15), "", V15+W15)</f>
        <v/>
      </c>
      <c r="Y15" s="12" t="n"/>
      <c r="Z15" s="12" t="n"/>
      <c r="AA15" s="14">
        <f>IF(ISBLANK(C15), "", Y15+Z15)</f>
        <v/>
      </c>
      <c r="AB15" s="12" t="n"/>
      <c r="AC15" s="12" t="n"/>
      <c r="AD15" s="14">
        <f>IF(ISBLANK(C15), "", AB15+AC15)</f>
        <v/>
      </c>
      <c r="AE15" s="12" t="n"/>
      <c r="AF15" s="12" t="n"/>
      <c r="AG15" s="14">
        <f>IF(ISBLANK(C15), "", AE15+AF15)</f>
        <v/>
      </c>
      <c r="AH15" s="12" t="n"/>
      <c r="AI15" s="12" t="n"/>
      <c r="AJ15" s="14">
        <f>IF(ISBLANK(C15), "", AH15+AI15)</f>
        <v/>
      </c>
      <c r="AK15" s="12" t="n"/>
      <c r="AL15" s="12" t="n"/>
      <c r="AM15" s="14">
        <f>IF(ISBLANK(C15), "", AK15+AL15)</f>
        <v/>
      </c>
      <c r="AN15" s="12" t="n"/>
      <c r="AO15" s="12" t="n"/>
      <c r="AP15" s="14">
        <f>IF(ISBLANK(C15), "", AN15+AO15)</f>
        <v/>
      </c>
      <c r="AQ15" s="12" t="n"/>
      <c r="AR15" s="12" t="n"/>
      <c r="AS15" s="14">
        <f>IF(ISBLANK(C15), "", AQ15+AR15)</f>
        <v/>
      </c>
      <c r="AT15" s="12" t="n"/>
      <c r="AU15" s="12" t="n"/>
      <c r="AV15" s="14">
        <f>IF(ISBLANK(C15), "", AT15+AU15)</f>
        <v/>
      </c>
      <c r="AW15" s="12" t="n"/>
      <c r="AX15" s="12" t="n"/>
      <c r="AY15" s="14">
        <f>IF(ISBLANK(C15), "", AW15+AX15)</f>
        <v/>
      </c>
      <c r="AZ15" s="12" t="n"/>
      <c r="BA15" s="12" t="n"/>
      <c r="BB15" s="14">
        <f>IF(ISBLANK(C15), "", AZ15+BA15)</f>
        <v/>
      </c>
      <c r="BC15" s="12" t="n"/>
      <c r="BD15" s="12" t="n"/>
      <c r="BE15" s="14">
        <f>IF(ISBLANK(C15), "", BC15+BD15)</f>
        <v/>
      </c>
      <c r="BF15" s="12" t="n"/>
      <c r="BG15" s="12" t="n"/>
      <c r="BH15" s="14">
        <f>IF(ISBLANK(C15), "", BF15+BG15)</f>
        <v/>
      </c>
      <c r="BI15" s="12" t="n"/>
      <c r="BJ15" s="12" t="n"/>
      <c r="BK15" s="14">
        <f>IF(ISBLANK(C15), "", BI15+BJ15)</f>
        <v/>
      </c>
      <c r="BL15" s="12" t="n"/>
      <c r="BM15" s="12" t="n"/>
      <c r="BN15" s="14">
        <f>IF(ISBLANK(C15), "", BL15+BM15)</f>
        <v/>
      </c>
      <c r="BO15" s="12" t="n"/>
      <c r="BP15" s="12" t="n"/>
      <c r="BQ15" s="14">
        <f>IF(ISBLANK(C15), "", BO15+BP15)</f>
        <v/>
      </c>
      <c r="BR15" s="12" t="n"/>
      <c r="BS15" s="12" t="n"/>
      <c r="BT15" s="14">
        <f>IF(ISBLANK(C15), "", BR15+BS15)</f>
        <v/>
      </c>
      <c r="BU15" s="12" t="n"/>
      <c r="BV15" s="12" t="n"/>
      <c r="BW15" s="14">
        <f>IF(ISBLANK(C15), "", BU15+BV15)</f>
        <v/>
      </c>
      <c r="BX15" s="12" t="n"/>
      <c r="BY15" s="12" t="n"/>
      <c r="BZ15" s="14">
        <f>IF(ISBLANK(C15), "", BX15+BY15)</f>
        <v/>
      </c>
      <c r="CA15" s="12" t="n"/>
      <c r="CB15" s="12" t="n"/>
      <c r="CC15" s="14">
        <f>IF(ISBLANK(C15), "", CA15+CB15)</f>
        <v/>
      </c>
      <c r="CD15" s="12" t="n"/>
      <c r="CE15" s="12" t="n"/>
      <c r="CF15" s="14">
        <f>IF(ISBLANK(C15), "", CD15+CE15)</f>
        <v/>
      </c>
      <c r="CG15" s="12" t="n"/>
      <c r="CH15" s="12" t="n"/>
      <c r="CI15" s="14">
        <f>IF(ISBLANK(C15), "", CG15+CH15)</f>
        <v/>
      </c>
      <c r="CJ15" s="12" t="n"/>
      <c r="CK15" s="12" t="n"/>
      <c r="CL15" s="14">
        <f>IF(ISBLANK(C15), "", CJ15+CK15)</f>
        <v/>
      </c>
      <c r="CM15" s="12" t="n"/>
      <c r="CN15" s="12" t="n"/>
      <c r="CO15" s="14">
        <f>IF(ISBLANK(C15), "", CM15+CN15)</f>
        <v/>
      </c>
      <c r="CP15" s="25">
        <f>IF(ISBLANK(C15), "", F15+I15+L15+O15+R15+U15+X15+AA15+AD15+AG15+AJ15+AM15+AP15+AS15+AV15+AY15+BB15+BE15+BH15+BK15+BN15+BQ15+BT15+BW15+BZ15+CC15+CF15+CI15+CL15+CO15)</f>
        <v/>
      </c>
      <c r="CQ15" s="17">
        <f>IF(OR(ISBLANK(C15), CP15=""), "", ROUND((CP15/3000)*100, 1))</f>
        <v/>
      </c>
      <c r="CR15" s="14">
        <f>IF(OR(ISBLANK(C15), CP15=""), "", IF(AND(F15&gt;=35, I15&gt;=35, L15&gt;=35, O15&gt;=35, R15&gt;=35, U15&gt;=35, X15&gt;=35, AA15&gt;=35, AD15&gt;=35, AG15&gt;=35, AJ15&gt;=35, AM15&gt;=35, AP15&gt;=35, AS15&gt;=35, AV15&gt;=35, AY15&gt;=35, BB15&gt;=35, BE15&gt;=35, BH15&gt;=35, BK15&gt;=35, BN15&gt;=35, BQ15&gt;=35, BT15&gt;=35, BW15&gt;=35, BZ15&gt;=35, CC15&gt;=35, CF15&gt;=35, CI15&gt;=35, CL15&gt;=35, CO15&gt;=35), "PASS", "FAIL"))</f>
        <v/>
      </c>
      <c r="CS15" s="14">
        <f>IF(OR(ISBLANK(C15), CR15=""), "", IF(CR15="FAIL", "F", IF(CQ15&gt;=90, "A+", IF(CQ15&gt;=80, "A", IF(CQ15&gt;=70, "B", IF(CQ15&gt;=50, "C", "D"))))))</f>
        <v/>
      </c>
      <c r="CT15" s="14">
        <f>IF(OR(ISBLANK(C15), CP15=""), "", RANK(CP15, $CP$6:$CP$30))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5" t="n"/>
      <c r="W16" s="5" t="n"/>
      <c r="X16" s="7">
        <f>IF(ISBLANK(C16), "", V16+W16)</f>
        <v/>
      </c>
      <c r="Y16" s="5" t="n"/>
      <c r="Z16" s="5" t="n"/>
      <c r="AA16" s="7">
        <f>IF(ISBLANK(C16), "", Y16+Z16)</f>
        <v/>
      </c>
      <c r="AB16" s="5" t="n"/>
      <c r="AC16" s="5" t="n"/>
      <c r="AD16" s="7">
        <f>IF(ISBLANK(C16), "", AB16+AC16)</f>
        <v/>
      </c>
      <c r="AE16" s="5" t="n"/>
      <c r="AF16" s="5" t="n"/>
      <c r="AG16" s="7">
        <f>IF(ISBLANK(C16), "", AE16+AF16)</f>
        <v/>
      </c>
      <c r="AH16" s="5" t="n"/>
      <c r="AI16" s="5" t="n"/>
      <c r="AJ16" s="7">
        <f>IF(ISBLANK(C16), "", AH16+AI16)</f>
        <v/>
      </c>
      <c r="AK16" s="5" t="n"/>
      <c r="AL16" s="5" t="n"/>
      <c r="AM16" s="7">
        <f>IF(ISBLANK(C16), "", AK16+AL16)</f>
        <v/>
      </c>
      <c r="AN16" s="5" t="n"/>
      <c r="AO16" s="5" t="n"/>
      <c r="AP16" s="7">
        <f>IF(ISBLANK(C16), "", AN16+AO16)</f>
        <v/>
      </c>
      <c r="AQ16" s="5" t="n"/>
      <c r="AR16" s="5" t="n"/>
      <c r="AS16" s="7">
        <f>IF(ISBLANK(C16), "", AQ16+AR16)</f>
        <v/>
      </c>
      <c r="AT16" s="5" t="n"/>
      <c r="AU16" s="5" t="n"/>
      <c r="AV16" s="7">
        <f>IF(ISBLANK(C16), "", AT16+AU16)</f>
        <v/>
      </c>
      <c r="AW16" s="5" t="n"/>
      <c r="AX16" s="5" t="n"/>
      <c r="AY16" s="7">
        <f>IF(ISBLANK(C16), "", AW16+AX16)</f>
        <v/>
      </c>
      <c r="AZ16" s="5" t="n"/>
      <c r="BA16" s="5" t="n"/>
      <c r="BB16" s="7">
        <f>IF(ISBLANK(C16), "", AZ16+BA16)</f>
        <v/>
      </c>
      <c r="BC16" s="5" t="n"/>
      <c r="BD16" s="5" t="n"/>
      <c r="BE16" s="7">
        <f>IF(ISBLANK(C16), "", BC16+BD16)</f>
        <v/>
      </c>
      <c r="BF16" s="5" t="n"/>
      <c r="BG16" s="5" t="n"/>
      <c r="BH16" s="7">
        <f>IF(ISBLANK(C16), "", BF16+BG16)</f>
        <v/>
      </c>
      <c r="BI16" s="5" t="n"/>
      <c r="BJ16" s="5" t="n"/>
      <c r="BK16" s="7">
        <f>IF(ISBLANK(C16), "", BI16+BJ16)</f>
        <v/>
      </c>
      <c r="BL16" s="5" t="n"/>
      <c r="BM16" s="5" t="n"/>
      <c r="BN16" s="7">
        <f>IF(ISBLANK(C16), "", BL16+BM16)</f>
        <v/>
      </c>
      <c r="BO16" s="5" t="n"/>
      <c r="BP16" s="5" t="n"/>
      <c r="BQ16" s="7">
        <f>IF(ISBLANK(C16), "", BO16+BP16)</f>
        <v/>
      </c>
      <c r="BR16" s="5" t="n"/>
      <c r="BS16" s="5" t="n"/>
      <c r="BT16" s="7">
        <f>IF(ISBLANK(C16), "", BR16+BS16)</f>
        <v/>
      </c>
      <c r="BU16" s="5" t="n"/>
      <c r="BV16" s="5" t="n"/>
      <c r="BW16" s="7">
        <f>IF(ISBLANK(C16), "", BU16+BV16)</f>
        <v/>
      </c>
      <c r="BX16" s="5" t="n"/>
      <c r="BY16" s="5" t="n"/>
      <c r="BZ16" s="7">
        <f>IF(ISBLANK(C16), "", BX16+BY16)</f>
        <v/>
      </c>
      <c r="CA16" s="5" t="n"/>
      <c r="CB16" s="5" t="n"/>
      <c r="CC16" s="7">
        <f>IF(ISBLANK(C16), "", CA16+CB16)</f>
        <v/>
      </c>
      <c r="CD16" s="5" t="n"/>
      <c r="CE16" s="5" t="n"/>
      <c r="CF16" s="7">
        <f>IF(ISBLANK(C16), "", CD16+CE16)</f>
        <v/>
      </c>
      <c r="CG16" s="5" t="n"/>
      <c r="CH16" s="5" t="n"/>
      <c r="CI16" s="7">
        <f>IF(ISBLANK(C16), "", CG16+CH16)</f>
        <v/>
      </c>
      <c r="CJ16" s="5" t="n"/>
      <c r="CK16" s="5" t="n"/>
      <c r="CL16" s="7">
        <f>IF(ISBLANK(C16), "", CJ16+CK16)</f>
        <v/>
      </c>
      <c r="CM16" s="5" t="n"/>
      <c r="CN16" s="5" t="n"/>
      <c r="CO16" s="7">
        <f>IF(ISBLANK(C16), "", CM16+CN16)</f>
        <v/>
      </c>
      <c r="CP16" s="24">
        <f>IF(ISBLANK(C16), "", F16+I16+L16+O16+R16+U16+X16+AA16+AD16+AG16+AJ16+AM16+AP16+AS16+AV16+AY16+BB16+BE16+BH16+BK16+BN16+BQ16+BT16+BW16+BZ16+CC16+CF16+CI16+CL16+CO16)</f>
        <v/>
      </c>
      <c r="CQ16" s="10">
        <f>IF(OR(ISBLANK(C16), CP16=""), "", ROUND((CP16/3000)*100, 1))</f>
        <v/>
      </c>
      <c r="CR16" s="7">
        <f>IF(OR(ISBLANK(C16), CP16=""), "", IF(AND(F16&gt;=35, I16&gt;=35, L16&gt;=35, O16&gt;=35, R16&gt;=35, U16&gt;=35, X16&gt;=35, AA16&gt;=35, AD16&gt;=35, AG16&gt;=35, AJ16&gt;=35, AM16&gt;=35, AP16&gt;=35, AS16&gt;=35, AV16&gt;=35, AY16&gt;=35, BB16&gt;=35, BE16&gt;=35, BH16&gt;=35, BK16&gt;=35, BN16&gt;=35, BQ16&gt;=35, BT16&gt;=35, BW16&gt;=35, BZ16&gt;=35, CC16&gt;=35, CF16&gt;=35, CI16&gt;=35, CL16&gt;=35, CO16&gt;=35), "PASS", "FAIL"))</f>
        <v/>
      </c>
      <c r="CS16" s="7">
        <f>IF(OR(ISBLANK(C16), CR16=""), "", IF(CR16="FAIL", "F", IF(CQ16&gt;=90, "A+", IF(CQ16&gt;=80, "A", IF(CQ16&gt;=70, "B", IF(CQ16&gt;=50, "C", "D"))))))</f>
        <v/>
      </c>
      <c r="CT16" s="7">
        <f>IF(OR(ISBLANK(C16), CP16=""), "", RANK(CP16, $CP$6:$CP$30))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12" t="n"/>
      <c r="W17" s="12" t="n"/>
      <c r="X17" s="14">
        <f>IF(ISBLANK(C17), "", V17+W17)</f>
        <v/>
      </c>
      <c r="Y17" s="12" t="n"/>
      <c r="Z17" s="12" t="n"/>
      <c r="AA17" s="14">
        <f>IF(ISBLANK(C17), "", Y17+Z17)</f>
        <v/>
      </c>
      <c r="AB17" s="12" t="n"/>
      <c r="AC17" s="12" t="n"/>
      <c r="AD17" s="14">
        <f>IF(ISBLANK(C17), "", AB17+AC17)</f>
        <v/>
      </c>
      <c r="AE17" s="12" t="n"/>
      <c r="AF17" s="12" t="n"/>
      <c r="AG17" s="14">
        <f>IF(ISBLANK(C17), "", AE17+AF17)</f>
        <v/>
      </c>
      <c r="AH17" s="12" t="n"/>
      <c r="AI17" s="12" t="n"/>
      <c r="AJ17" s="14">
        <f>IF(ISBLANK(C17), "", AH17+AI17)</f>
        <v/>
      </c>
      <c r="AK17" s="12" t="n"/>
      <c r="AL17" s="12" t="n"/>
      <c r="AM17" s="14">
        <f>IF(ISBLANK(C17), "", AK17+AL17)</f>
        <v/>
      </c>
      <c r="AN17" s="12" t="n"/>
      <c r="AO17" s="12" t="n"/>
      <c r="AP17" s="14">
        <f>IF(ISBLANK(C17), "", AN17+AO17)</f>
        <v/>
      </c>
      <c r="AQ17" s="12" t="n"/>
      <c r="AR17" s="12" t="n"/>
      <c r="AS17" s="14">
        <f>IF(ISBLANK(C17), "", AQ17+AR17)</f>
        <v/>
      </c>
      <c r="AT17" s="12" t="n"/>
      <c r="AU17" s="12" t="n"/>
      <c r="AV17" s="14">
        <f>IF(ISBLANK(C17), "", AT17+AU17)</f>
        <v/>
      </c>
      <c r="AW17" s="12" t="n"/>
      <c r="AX17" s="12" t="n"/>
      <c r="AY17" s="14">
        <f>IF(ISBLANK(C17), "", AW17+AX17)</f>
        <v/>
      </c>
      <c r="AZ17" s="12" t="n"/>
      <c r="BA17" s="12" t="n"/>
      <c r="BB17" s="14">
        <f>IF(ISBLANK(C17), "", AZ17+BA17)</f>
        <v/>
      </c>
      <c r="BC17" s="12" t="n"/>
      <c r="BD17" s="12" t="n"/>
      <c r="BE17" s="14">
        <f>IF(ISBLANK(C17), "", BC17+BD17)</f>
        <v/>
      </c>
      <c r="BF17" s="12" t="n"/>
      <c r="BG17" s="12" t="n"/>
      <c r="BH17" s="14">
        <f>IF(ISBLANK(C17), "", BF17+BG17)</f>
        <v/>
      </c>
      <c r="BI17" s="12" t="n"/>
      <c r="BJ17" s="12" t="n"/>
      <c r="BK17" s="14">
        <f>IF(ISBLANK(C17), "", BI17+BJ17)</f>
        <v/>
      </c>
      <c r="BL17" s="12" t="n"/>
      <c r="BM17" s="12" t="n"/>
      <c r="BN17" s="14">
        <f>IF(ISBLANK(C17), "", BL17+BM17)</f>
        <v/>
      </c>
      <c r="BO17" s="12" t="n"/>
      <c r="BP17" s="12" t="n"/>
      <c r="BQ17" s="14">
        <f>IF(ISBLANK(C17), "", BO17+BP17)</f>
        <v/>
      </c>
      <c r="BR17" s="12" t="n"/>
      <c r="BS17" s="12" t="n"/>
      <c r="BT17" s="14">
        <f>IF(ISBLANK(C17), "", BR17+BS17)</f>
        <v/>
      </c>
      <c r="BU17" s="12" t="n"/>
      <c r="BV17" s="12" t="n"/>
      <c r="BW17" s="14">
        <f>IF(ISBLANK(C17), "", BU17+BV17)</f>
        <v/>
      </c>
      <c r="BX17" s="12" t="n"/>
      <c r="BY17" s="12" t="n"/>
      <c r="BZ17" s="14">
        <f>IF(ISBLANK(C17), "", BX17+BY17)</f>
        <v/>
      </c>
      <c r="CA17" s="12" t="n"/>
      <c r="CB17" s="12" t="n"/>
      <c r="CC17" s="14">
        <f>IF(ISBLANK(C17), "", CA17+CB17)</f>
        <v/>
      </c>
      <c r="CD17" s="12" t="n"/>
      <c r="CE17" s="12" t="n"/>
      <c r="CF17" s="14">
        <f>IF(ISBLANK(C17), "", CD17+CE17)</f>
        <v/>
      </c>
      <c r="CG17" s="12" t="n"/>
      <c r="CH17" s="12" t="n"/>
      <c r="CI17" s="14">
        <f>IF(ISBLANK(C17), "", CG17+CH17)</f>
        <v/>
      </c>
      <c r="CJ17" s="12" t="n"/>
      <c r="CK17" s="12" t="n"/>
      <c r="CL17" s="14">
        <f>IF(ISBLANK(C17), "", CJ17+CK17)</f>
        <v/>
      </c>
      <c r="CM17" s="12" t="n"/>
      <c r="CN17" s="12" t="n"/>
      <c r="CO17" s="14">
        <f>IF(ISBLANK(C17), "", CM17+CN17)</f>
        <v/>
      </c>
      <c r="CP17" s="25">
        <f>IF(ISBLANK(C17), "", F17+I17+L17+O17+R17+U17+X17+AA17+AD17+AG17+AJ17+AM17+AP17+AS17+AV17+AY17+BB17+BE17+BH17+BK17+BN17+BQ17+BT17+BW17+BZ17+CC17+CF17+CI17+CL17+CO17)</f>
        <v/>
      </c>
      <c r="CQ17" s="17">
        <f>IF(OR(ISBLANK(C17), CP17=""), "", ROUND((CP17/3000)*100, 1))</f>
        <v/>
      </c>
      <c r="CR17" s="14">
        <f>IF(OR(ISBLANK(C17), CP17=""), "", IF(AND(F17&gt;=35, I17&gt;=35, L17&gt;=35, O17&gt;=35, R17&gt;=35, U17&gt;=35, X17&gt;=35, AA17&gt;=35, AD17&gt;=35, AG17&gt;=35, AJ17&gt;=35, AM17&gt;=35, AP17&gt;=35, AS17&gt;=35, AV17&gt;=35, AY17&gt;=35, BB17&gt;=35, BE17&gt;=35, BH17&gt;=35, BK17&gt;=35, BN17&gt;=35, BQ17&gt;=35, BT17&gt;=35, BW17&gt;=35, BZ17&gt;=35, CC17&gt;=35, CF17&gt;=35, CI17&gt;=35, CL17&gt;=35, CO17&gt;=35), "PASS", "FAIL"))</f>
        <v/>
      </c>
      <c r="CS17" s="14">
        <f>IF(OR(ISBLANK(C17), CR17=""), "", IF(CR17="FAIL", "F", IF(CQ17&gt;=90, "A+", IF(CQ17&gt;=80, "A", IF(CQ17&gt;=70, "B", IF(CQ17&gt;=50, "C", "D"))))))</f>
        <v/>
      </c>
      <c r="CT17" s="14">
        <f>IF(OR(ISBLANK(C17), CP17=""), "", RANK(CP17, $CP$6:$CP$30))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5" t="n"/>
      <c r="W18" s="5" t="n"/>
      <c r="X18" s="7">
        <f>IF(ISBLANK(C18), "", V18+W18)</f>
        <v/>
      </c>
      <c r="Y18" s="5" t="n"/>
      <c r="Z18" s="5" t="n"/>
      <c r="AA18" s="7">
        <f>IF(ISBLANK(C18), "", Y18+Z18)</f>
        <v/>
      </c>
      <c r="AB18" s="5" t="n"/>
      <c r="AC18" s="5" t="n"/>
      <c r="AD18" s="7">
        <f>IF(ISBLANK(C18), "", AB18+AC18)</f>
        <v/>
      </c>
      <c r="AE18" s="5" t="n"/>
      <c r="AF18" s="5" t="n"/>
      <c r="AG18" s="7">
        <f>IF(ISBLANK(C18), "", AE18+AF18)</f>
        <v/>
      </c>
      <c r="AH18" s="5" t="n"/>
      <c r="AI18" s="5" t="n"/>
      <c r="AJ18" s="7">
        <f>IF(ISBLANK(C18), "", AH18+AI18)</f>
        <v/>
      </c>
      <c r="AK18" s="5" t="n"/>
      <c r="AL18" s="5" t="n"/>
      <c r="AM18" s="7">
        <f>IF(ISBLANK(C18), "", AK18+AL18)</f>
        <v/>
      </c>
      <c r="AN18" s="5" t="n"/>
      <c r="AO18" s="5" t="n"/>
      <c r="AP18" s="7">
        <f>IF(ISBLANK(C18), "", AN18+AO18)</f>
        <v/>
      </c>
      <c r="AQ18" s="5" t="n"/>
      <c r="AR18" s="5" t="n"/>
      <c r="AS18" s="7">
        <f>IF(ISBLANK(C18), "", AQ18+AR18)</f>
        <v/>
      </c>
      <c r="AT18" s="5" t="n"/>
      <c r="AU18" s="5" t="n"/>
      <c r="AV18" s="7">
        <f>IF(ISBLANK(C18), "", AT18+AU18)</f>
        <v/>
      </c>
      <c r="AW18" s="5" t="n"/>
      <c r="AX18" s="5" t="n"/>
      <c r="AY18" s="7">
        <f>IF(ISBLANK(C18), "", AW18+AX18)</f>
        <v/>
      </c>
      <c r="AZ18" s="5" t="n"/>
      <c r="BA18" s="5" t="n"/>
      <c r="BB18" s="7">
        <f>IF(ISBLANK(C18), "", AZ18+BA18)</f>
        <v/>
      </c>
      <c r="BC18" s="5" t="n"/>
      <c r="BD18" s="5" t="n"/>
      <c r="BE18" s="7">
        <f>IF(ISBLANK(C18), "", BC18+BD18)</f>
        <v/>
      </c>
      <c r="BF18" s="5" t="n"/>
      <c r="BG18" s="5" t="n"/>
      <c r="BH18" s="7">
        <f>IF(ISBLANK(C18), "", BF18+BG18)</f>
        <v/>
      </c>
      <c r="BI18" s="5" t="n"/>
      <c r="BJ18" s="5" t="n"/>
      <c r="BK18" s="7">
        <f>IF(ISBLANK(C18), "", BI18+BJ18)</f>
        <v/>
      </c>
      <c r="BL18" s="5" t="n"/>
      <c r="BM18" s="5" t="n"/>
      <c r="BN18" s="7">
        <f>IF(ISBLANK(C18), "", BL18+BM18)</f>
        <v/>
      </c>
      <c r="BO18" s="5" t="n"/>
      <c r="BP18" s="5" t="n"/>
      <c r="BQ18" s="7">
        <f>IF(ISBLANK(C18), "", BO18+BP18)</f>
        <v/>
      </c>
      <c r="BR18" s="5" t="n"/>
      <c r="BS18" s="5" t="n"/>
      <c r="BT18" s="7">
        <f>IF(ISBLANK(C18), "", BR18+BS18)</f>
        <v/>
      </c>
      <c r="BU18" s="5" t="n"/>
      <c r="BV18" s="5" t="n"/>
      <c r="BW18" s="7">
        <f>IF(ISBLANK(C18), "", BU18+BV18)</f>
        <v/>
      </c>
      <c r="BX18" s="5" t="n"/>
      <c r="BY18" s="5" t="n"/>
      <c r="BZ18" s="7">
        <f>IF(ISBLANK(C18), "", BX18+BY18)</f>
        <v/>
      </c>
      <c r="CA18" s="5" t="n"/>
      <c r="CB18" s="5" t="n"/>
      <c r="CC18" s="7">
        <f>IF(ISBLANK(C18), "", CA18+CB18)</f>
        <v/>
      </c>
      <c r="CD18" s="5" t="n"/>
      <c r="CE18" s="5" t="n"/>
      <c r="CF18" s="7">
        <f>IF(ISBLANK(C18), "", CD18+CE18)</f>
        <v/>
      </c>
      <c r="CG18" s="5" t="n"/>
      <c r="CH18" s="5" t="n"/>
      <c r="CI18" s="7">
        <f>IF(ISBLANK(C18), "", CG18+CH18)</f>
        <v/>
      </c>
      <c r="CJ18" s="5" t="n"/>
      <c r="CK18" s="5" t="n"/>
      <c r="CL18" s="7">
        <f>IF(ISBLANK(C18), "", CJ18+CK18)</f>
        <v/>
      </c>
      <c r="CM18" s="5" t="n"/>
      <c r="CN18" s="5" t="n"/>
      <c r="CO18" s="7">
        <f>IF(ISBLANK(C18), "", CM18+CN18)</f>
        <v/>
      </c>
      <c r="CP18" s="24">
        <f>IF(ISBLANK(C18), "", F18+I18+L18+O18+R18+U18+X18+AA18+AD18+AG18+AJ18+AM18+AP18+AS18+AV18+AY18+BB18+BE18+BH18+BK18+BN18+BQ18+BT18+BW18+BZ18+CC18+CF18+CI18+CL18+CO18)</f>
        <v/>
      </c>
      <c r="CQ18" s="10">
        <f>IF(OR(ISBLANK(C18), CP18=""), "", ROUND((CP18/3000)*100, 1))</f>
        <v/>
      </c>
      <c r="CR18" s="7">
        <f>IF(OR(ISBLANK(C18), CP18=""), "", IF(AND(F18&gt;=35, I18&gt;=35, L18&gt;=35, O18&gt;=35, R18&gt;=35, U18&gt;=35, X18&gt;=35, AA18&gt;=35, AD18&gt;=35, AG18&gt;=35, AJ18&gt;=35, AM18&gt;=35, AP18&gt;=35, AS18&gt;=35, AV18&gt;=35, AY18&gt;=35, BB18&gt;=35, BE18&gt;=35, BH18&gt;=35, BK18&gt;=35, BN18&gt;=35, BQ18&gt;=35, BT18&gt;=35, BW18&gt;=35, BZ18&gt;=35, CC18&gt;=35, CF18&gt;=35, CI18&gt;=35, CL18&gt;=35, CO18&gt;=35), "PASS", "FAIL"))</f>
        <v/>
      </c>
      <c r="CS18" s="7">
        <f>IF(OR(ISBLANK(C18), CR18=""), "", IF(CR18="FAIL", "F", IF(CQ18&gt;=90, "A+", IF(CQ18&gt;=80, "A", IF(CQ18&gt;=70, "B", IF(CQ18&gt;=50, "C", "D"))))))</f>
        <v/>
      </c>
      <c r="CT18" s="7">
        <f>IF(OR(ISBLANK(C18), CP18=""), "", RANK(CP18, $CP$6:$CP$30))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12" t="n"/>
      <c r="W19" s="12" t="n"/>
      <c r="X19" s="14">
        <f>IF(ISBLANK(C19), "", V19+W19)</f>
        <v/>
      </c>
      <c r="Y19" s="12" t="n"/>
      <c r="Z19" s="12" t="n"/>
      <c r="AA19" s="14">
        <f>IF(ISBLANK(C19), "", Y19+Z19)</f>
        <v/>
      </c>
      <c r="AB19" s="12" t="n"/>
      <c r="AC19" s="12" t="n"/>
      <c r="AD19" s="14">
        <f>IF(ISBLANK(C19), "", AB19+AC19)</f>
        <v/>
      </c>
      <c r="AE19" s="12" t="n"/>
      <c r="AF19" s="12" t="n"/>
      <c r="AG19" s="14">
        <f>IF(ISBLANK(C19), "", AE19+AF19)</f>
        <v/>
      </c>
      <c r="AH19" s="12" t="n"/>
      <c r="AI19" s="12" t="n"/>
      <c r="AJ19" s="14">
        <f>IF(ISBLANK(C19), "", AH19+AI19)</f>
        <v/>
      </c>
      <c r="AK19" s="12" t="n"/>
      <c r="AL19" s="12" t="n"/>
      <c r="AM19" s="14">
        <f>IF(ISBLANK(C19), "", AK19+AL19)</f>
        <v/>
      </c>
      <c r="AN19" s="12" t="n"/>
      <c r="AO19" s="12" t="n"/>
      <c r="AP19" s="14">
        <f>IF(ISBLANK(C19), "", AN19+AO19)</f>
        <v/>
      </c>
      <c r="AQ19" s="12" t="n"/>
      <c r="AR19" s="12" t="n"/>
      <c r="AS19" s="14">
        <f>IF(ISBLANK(C19), "", AQ19+AR19)</f>
        <v/>
      </c>
      <c r="AT19" s="12" t="n"/>
      <c r="AU19" s="12" t="n"/>
      <c r="AV19" s="14">
        <f>IF(ISBLANK(C19), "", AT19+AU19)</f>
        <v/>
      </c>
      <c r="AW19" s="12" t="n"/>
      <c r="AX19" s="12" t="n"/>
      <c r="AY19" s="14">
        <f>IF(ISBLANK(C19), "", AW19+AX19)</f>
        <v/>
      </c>
      <c r="AZ19" s="12" t="n"/>
      <c r="BA19" s="12" t="n"/>
      <c r="BB19" s="14">
        <f>IF(ISBLANK(C19), "", AZ19+BA19)</f>
        <v/>
      </c>
      <c r="BC19" s="12" t="n"/>
      <c r="BD19" s="12" t="n"/>
      <c r="BE19" s="14">
        <f>IF(ISBLANK(C19), "", BC19+BD19)</f>
        <v/>
      </c>
      <c r="BF19" s="12" t="n"/>
      <c r="BG19" s="12" t="n"/>
      <c r="BH19" s="14">
        <f>IF(ISBLANK(C19), "", BF19+BG19)</f>
        <v/>
      </c>
      <c r="BI19" s="12" t="n"/>
      <c r="BJ19" s="12" t="n"/>
      <c r="BK19" s="14">
        <f>IF(ISBLANK(C19), "", BI19+BJ19)</f>
        <v/>
      </c>
      <c r="BL19" s="12" t="n"/>
      <c r="BM19" s="12" t="n"/>
      <c r="BN19" s="14">
        <f>IF(ISBLANK(C19), "", BL19+BM19)</f>
        <v/>
      </c>
      <c r="BO19" s="12" t="n"/>
      <c r="BP19" s="12" t="n"/>
      <c r="BQ19" s="14">
        <f>IF(ISBLANK(C19), "", BO19+BP19)</f>
        <v/>
      </c>
      <c r="BR19" s="12" t="n"/>
      <c r="BS19" s="12" t="n"/>
      <c r="BT19" s="14">
        <f>IF(ISBLANK(C19), "", BR19+BS19)</f>
        <v/>
      </c>
      <c r="BU19" s="12" t="n"/>
      <c r="BV19" s="12" t="n"/>
      <c r="BW19" s="14">
        <f>IF(ISBLANK(C19), "", BU19+BV19)</f>
        <v/>
      </c>
      <c r="BX19" s="12" t="n"/>
      <c r="BY19" s="12" t="n"/>
      <c r="BZ19" s="14">
        <f>IF(ISBLANK(C19), "", BX19+BY19)</f>
        <v/>
      </c>
      <c r="CA19" s="12" t="n"/>
      <c r="CB19" s="12" t="n"/>
      <c r="CC19" s="14">
        <f>IF(ISBLANK(C19), "", CA19+CB19)</f>
        <v/>
      </c>
      <c r="CD19" s="12" t="n"/>
      <c r="CE19" s="12" t="n"/>
      <c r="CF19" s="14">
        <f>IF(ISBLANK(C19), "", CD19+CE19)</f>
        <v/>
      </c>
      <c r="CG19" s="12" t="n"/>
      <c r="CH19" s="12" t="n"/>
      <c r="CI19" s="14">
        <f>IF(ISBLANK(C19), "", CG19+CH19)</f>
        <v/>
      </c>
      <c r="CJ19" s="12" t="n"/>
      <c r="CK19" s="12" t="n"/>
      <c r="CL19" s="14">
        <f>IF(ISBLANK(C19), "", CJ19+CK19)</f>
        <v/>
      </c>
      <c r="CM19" s="12" t="n"/>
      <c r="CN19" s="12" t="n"/>
      <c r="CO19" s="14">
        <f>IF(ISBLANK(C19), "", CM19+CN19)</f>
        <v/>
      </c>
      <c r="CP19" s="25">
        <f>IF(ISBLANK(C19), "", F19+I19+L19+O19+R19+U19+X19+AA19+AD19+AG19+AJ19+AM19+AP19+AS19+AV19+AY19+BB19+BE19+BH19+BK19+BN19+BQ19+BT19+BW19+BZ19+CC19+CF19+CI19+CL19+CO19)</f>
        <v/>
      </c>
      <c r="CQ19" s="17">
        <f>IF(OR(ISBLANK(C19), CP19=""), "", ROUND((CP19/3000)*100, 1))</f>
        <v/>
      </c>
      <c r="CR19" s="14">
        <f>IF(OR(ISBLANK(C19), CP19=""), "", IF(AND(F19&gt;=35, I19&gt;=35, L19&gt;=35, O19&gt;=35, R19&gt;=35, U19&gt;=35, X19&gt;=35, AA19&gt;=35, AD19&gt;=35, AG19&gt;=35, AJ19&gt;=35, AM19&gt;=35, AP19&gt;=35, AS19&gt;=35, AV19&gt;=35, AY19&gt;=35, BB19&gt;=35, BE19&gt;=35, BH19&gt;=35, BK19&gt;=35, BN19&gt;=35, BQ19&gt;=35, BT19&gt;=35, BW19&gt;=35, BZ19&gt;=35, CC19&gt;=35, CF19&gt;=35, CI19&gt;=35, CL19&gt;=35, CO19&gt;=35), "PASS", "FAIL"))</f>
        <v/>
      </c>
      <c r="CS19" s="14">
        <f>IF(OR(ISBLANK(C19), CR19=""), "", IF(CR19="FAIL", "F", IF(CQ19&gt;=90, "A+", IF(CQ19&gt;=80, "A", IF(CQ19&gt;=70, "B", IF(CQ19&gt;=50, "C", "D"))))))</f>
        <v/>
      </c>
      <c r="CT19" s="14">
        <f>IF(OR(ISBLANK(C19), CP19=""), "", RANK(CP19, $CP$6:$CP$30))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5" t="n"/>
      <c r="W20" s="5" t="n"/>
      <c r="X20" s="7">
        <f>IF(ISBLANK(C20), "", V20+W20)</f>
        <v/>
      </c>
      <c r="Y20" s="5" t="n"/>
      <c r="Z20" s="5" t="n"/>
      <c r="AA20" s="7">
        <f>IF(ISBLANK(C20), "", Y20+Z20)</f>
        <v/>
      </c>
      <c r="AB20" s="5" t="n"/>
      <c r="AC20" s="5" t="n"/>
      <c r="AD20" s="7">
        <f>IF(ISBLANK(C20), "", AB20+AC20)</f>
        <v/>
      </c>
      <c r="AE20" s="5" t="n"/>
      <c r="AF20" s="5" t="n"/>
      <c r="AG20" s="7">
        <f>IF(ISBLANK(C20), "", AE20+AF20)</f>
        <v/>
      </c>
      <c r="AH20" s="5" t="n"/>
      <c r="AI20" s="5" t="n"/>
      <c r="AJ20" s="7">
        <f>IF(ISBLANK(C20), "", AH20+AI20)</f>
        <v/>
      </c>
      <c r="AK20" s="5" t="n"/>
      <c r="AL20" s="5" t="n"/>
      <c r="AM20" s="7">
        <f>IF(ISBLANK(C20), "", AK20+AL20)</f>
        <v/>
      </c>
      <c r="AN20" s="5" t="n"/>
      <c r="AO20" s="5" t="n"/>
      <c r="AP20" s="7">
        <f>IF(ISBLANK(C20), "", AN20+AO20)</f>
        <v/>
      </c>
      <c r="AQ20" s="5" t="n"/>
      <c r="AR20" s="5" t="n"/>
      <c r="AS20" s="7">
        <f>IF(ISBLANK(C20), "", AQ20+AR20)</f>
        <v/>
      </c>
      <c r="AT20" s="5" t="n"/>
      <c r="AU20" s="5" t="n"/>
      <c r="AV20" s="7">
        <f>IF(ISBLANK(C20), "", AT20+AU20)</f>
        <v/>
      </c>
      <c r="AW20" s="5" t="n"/>
      <c r="AX20" s="5" t="n"/>
      <c r="AY20" s="7">
        <f>IF(ISBLANK(C20), "", AW20+AX20)</f>
        <v/>
      </c>
      <c r="AZ20" s="5" t="n"/>
      <c r="BA20" s="5" t="n"/>
      <c r="BB20" s="7">
        <f>IF(ISBLANK(C20), "", AZ20+BA20)</f>
        <v/>
      </c>
      <c r="BC20" s="5" t="n"/>
      <c r="BD20" s="5" t="n"/>
      <c r="BE20" s="7">
        <f>IF(ISBLANK(C20), "", BC20+BD20)</f>
        <v/>
      </c>
      <c r="BF20" s="5" t="n"/>
      <c r="BG20" s="5" t="n"/>
      <c r="BH20" s="7">
        <f>IF(ISBLANK(C20), "", BF20+BG20)</f>
        <v/>
      </c>
      <c r="BI20" s="5" t="n"/>
      <c r="BJ20" s="5" t="n"/>
      <c r="BK20" s="7">
        <f>IF(ISBLANK(C20), "", BI20+BJ20)</f>
        <v/>
      </c>
      <c r="BL20" s="5" t="n"/>
      <c r="BM20" s="5" t="n"/>
      <c r="BN20" s="7">
        <f>IF(ISBLANK(C20), "", BL20+BM20)</f>
        <v/>
      </c>
      <c r="BO20" s="5" t="n"/>
      <c r="BP20" s="5" t="n"/>
      <c r="BQ20" s="7">
        <f>IF(ISBLANK(C20), "", BO20+BP20)</f>
        <v/>
      </c>
      <c r="BR20" s="5" t="n"/>
      <c r="BS20" s="5" t="n"/>
      <c r="BT20" s="7">
        <f>IF(ISBLANK(C20), "", BR20+BS20)</f>
        <v/>
      </c>
      <c r="BU20" s="5" t="n"/>
      <c r="BV20" s="5" t="n"/>
      <c r="BW20" s="7">
        <f>IF(ISBLANK(C20), "", BU20+BV20)</f>
        <v/>
      </c>
      <c r="BX20" s="5" t="n"/>
      <c r="BY20" s="5" t="n"/>
      <c r="BZ20" s="7">
        <f>IF(ISBLANK(C20), "", BX20+BY20)</f>
        <v/>
      </c>
      <c r="CA20" s="5" t="n"/>
      <c r="CB20" s="5" t="n"/>
      <c r="CC20" s="7">
        <f>IF(ISBLANK(C20), "", CA20+CB20)</f>
        <v/>
      </c>
      <c r="CD20" s="5" t="n"/>
      <c r="CE20" s="5" t="n"/>
      <c r="CF20" s="7">
        <f>IF(ISBLANK(C20), "", CD20+CE20)</f>
        <v/>
      </c>
      <c r="CG20" s="5" t="n"/>
      <c r="CH20" s="5" t="n"/>
      <c r="CI20" s="7">
        <f>IF(ISBLANK(C20), "", CG20+CH20)</f>
        <v/>
      </c>
      <c r="CJ20" s="5" t="n"/>
      <c r="CK20" s="5" t="n"/>
      <c r="CL20" s="7">
        <f>IF(ISBLANK(C20), "", CJ20+CK20)</f>
        <v/>
      </c>
      <c r="CM20" s="5" t="n"/>
      <c r="CN20" s="5" t="n"/>
      <c r="CO20" s="7">
        <f>IF(ISBLANK(C20), "", CM20+CN20)</f>
        <v/>
      </c>
      <c r="CP20" s="24">
        <f>IF(ISBLANK(C20), "", F20+I20+L20+O20+R20+U20+X20+AA20+AD20+AG20+AJ20+AM20+AP20+AS20+AV20+AY20+BB20+BE20+BH20+BK20+BN20+BQ20+BT20+BW20+BZ20+CC20+CF20+CI20+CL20+CO20)</f>
        <v/>
      </c>
      <c r="CQ20" s="10">
        <f>IF(OR(ISBLANK(C20), CP20=""), "", ROUND((CP20/3000)*100, 1))</f>
        <v/>
      </c>
      <c r="CR20" s="7">
        <f>IF(OR(ISBLANK(C20), CP20=""), "", IF(AND(F20&gt;=35, I20&gt;=35, L20&gt;=35, O20&gt;=35, R20&gt;=35, U20&gt;=35, X20&gt;=35, AA20&gt;=35, AD20&gt;=35, AG20&gt;=35, AJ20&gt;=35, AM20&gt;=35, AP20&gt;=35, AS20&gt;=35, AV20&gt;=35, AY20&gt;=35, BB20&gt;=35, BE20&gt;=35, BH20&gt;=35, BK20&gt;=35, BN20&gt;=35, BQ20&gt;=35, BT20&gt;=35, BW20&gt;=35, BZ20&gt;=35, CC20&gt;=35, CF20&gt;=35, CI20&gt;=35, CL20&gt;=35, CO20&gt;=35), "PASS", "FAIL"))</f>
        <v/>
      </c>
      <c r="CS20" s="7">
        <f>IF(OR(ISBLANK(C20), CR20=""), "", IF(CR20="FAIL", "F", IF(CQ20&gt;=90, "A+", IF(CQ20&gt;=80, "A", IF(CQ20&gt;=70, "B", IF(CQ20&gt;=50, "C", "D"))))))</f>
        <v/>
      </c>
      <c r="CT20" s="7">
        <f>IF(OR(ISBLANK(C20), CP20=""), "", RANK(CP20, $CP$6:$CP$30))</f>
        <v/>
      </c>
    </row>
    <row r="21">
      <c r="A21" s="12" t="inlineStr"/>
      <c r="B21" s="12" t="inlineStr"/>
      <c r="C21" s="13" t="inlineStr"/>
      <c r="D21" s="12" t="n"/>
      <c r="E21" s="12" t="n"/>
      <c r="F21" s="14">
        <f>IF(ISBLANK(C21), "", D21+E21)</f>
        <v/>
      </c>
      <c r="G21" s="12" t="n"/>
      <c r="H21" s="12" t="n"/>
      <c r="I21" s="14">
        <f>IF(ISBLANK(C21), "", G21+H21)</f>
        <v/>
      </c>
      <c r="J21" s="12" t="n"/>
      <c r="K21" s="12" t="n"/>
      <c r="L21" s="14">
        <f>IF(ISBLANK(C21), "", J21+K21)</f>
        <v/>
      </c>
      <c r="M21" s="12" t="n"/>
      <c r="N21" s="12" t="n"/>
      <c r="O21" s="14">
        <f>IF(ISBLANK(C21), "", M21+N21)</f>
        <v/>
      </c>
      <c r="P21" s="12" t="n"/>
      <c r="Q21" s="12" t="n"/>
      <c r="R21" s="14">
        <f>IF(ISBLANK(C21), "", P21+Q21)</f>
        <v/>
      </c>
      <c r="S21" s="12" t="n"/>
      <c r="T21" s="12" t="n"/>
      <c r="U21" s="14">
        <f>IF(ISBLANK(C21), "", S21+T21)</f>
        <v/>
      </c>
      <c r="V21" s="12" t="n"/>
      <c r="W21" s="12" t="n"/>
      <c r="X21" s="14">
        <f>IF(ISBLANK(C21), "", V21+W21)</f>
        <v/>
      </c>
      <c r="Y21" s="12" t="n"/>
      <c r="Z21" s="12" t="n"/>
      <c r="AA21" s="14">
        <f>IF(ISBLANK(C21), "", Y21+Z21)</f>
        <v/>
      </c>
      <c r="AB21" s="12" t="n"/>
      <c r="AC21" s="12" t="n"/>
      <c r="AD21" s="14">
        <f>IF(ISBLANK(C21), "", AB21+AC21)</f>
        <v/>
      </c>
      <c r="AE21" s="12" t="n"/>
      <c r="AF21" s="12" t="n"/>
      <c r="AG21" s="14">
        <f>IF(ISBLANK(C21), "", AE21+AF21)</f>
        <v/>
      </c>
      <c r="AH21" s="12" t="n"/>
      <c r="AI21" s="12" t="n"/>
      <c r="AJ21" s="14">
        <f>IF(ISBLANK(C21), "", AH21+AI21)</f>
        <v/>
      </c>
      <c r="AK21" s="12" t="n"/>
      <c r="AL21" s="12" t="n"/>
      <c r="AM21" s="14">
        <f>IF(ISBLANK(C21), "", AK21+AL21)</f>
        <v/>
      </c>
      <c r="AN21" s="12" t="n"/>
      <c r="AO21" s="12" t="n"/>
      <c r="AP21" s="14">
        <f>IF(ISBLANK(C21), "", AN21+AO21)</f>
        <v/>
      </c>
      <c r="AQ21" s="12" t="n"/>
      <c r="AR21" s="12" t="n"/>
      <c r="AS21" s="14">
        <f>IF(ISBLANK(C21), "", AQ21+AR21)</f>
        <v/>
      </c>
      <c r="AT21" s="12" t="n"/>
      <c r="AU21" s="12" t="n"/>
      <c r="AV21" s="14">
        <f>IF(ISBLANK(C21), "", AT21+AU21)</f>
        <v/>
      </c>
      <c r="AW21" s="12" t="n"/>
      <c r="AX21" s="12" t="n"/>
      <c r="AY21" s="14">
        <f>IF(ISBLANK(C21), "", AW21+AX21)</f>
        <v/>
      </c>
      <c r="AZ21" s="12" t="n"/>
      <c r="BA21" s="12" t="n"/>
      <c r="BB21" s="14">
        <f>IF(ISBLANK(C21), "", AZ21+BA21)</f>
        <v/>
      </c>
      <c r="BC21" s="12" t="n"/>
      <c r="BD21" s="12" t="n"/>
      <c r="BE21" s="14">
        <f>IF(ISBLANK(C21), "", BC21+BD21)</f>
        <v/>
      </c>
      <c r="BF21" s="12" t="n"/>
      <c r="BG21" s="12" t="n"/>
      <c r="BH21" s="14">
        <f>IF(ISBLANK(C21), "", BF21+BG21)</f>
        <v/>
      </c>
      <c r="BI21" s="12" t="n"/>
      <c r="BJ21" s="12" t="n"/>
      <c r="BK21" s="14">
        <f>IF(ISBLANK(C21), "", BI21+BJ21)</f>
        <v/>
      </c>
      <c r="BL21" s="12" t="n"/>
      <c r="BM21" s="12" t="n"/>
      <c r="BN21" s="14">
        <f>IF(ISBLANK(C21), "", BL21+BM21)</f>
        <v/>
      </c>
      <c r="BO21" s="12" t="n"/>
      <c r="BP21" s="12" t="n"/>
      <c r="BQ21" s="14">
        <f>IF(ISBLANK(C21), "", BO21+BP21)</f>
        <v/>
      </c>
      <c r="BR21" s="12" t="n"/>
      <c r="BS21" s="12" t="n"/>
      <c r="BT21" s="14">
        <f>IF(ISBLANK(C21), "", BR21+BS21)</f>
        <v/>
      </c>
      <c r="BU21" s="12" t="n"/>
      <c r="BV21" s="12" t="n"/>
      <c r="BW21" s="14">
        <f>IF(ISBLANK(C21), "", BU21+BV21)</f>
        <v/>
      </c>
      <c r="BX21" s="12" t="n"/>
      <c r="BY21" s="12" t="n"/>
      <c r="BZ21" s="14">
        <f>IF(ISBLANK(C21), "", BX21+BY21)</f>
        <v/>
      </c>
      <c r="CA21" s="12" t="n"/>
      <c r="CB21" s="12" t="n"/>
      <c r="CC21" s="14">
        <f>IF(ISBLANK(C21), "", CA21+CB21)</f>
        <v/>
      </c>
      <c r="CD21" s="12" t="n"/>
      <c r="CE21" s="12" t="n"/>
      <c r="CF21" s="14">
        <f>IF(ISBLANK(C21), "", CD21+CE21)</f>
        <v/>
      </c>
      <c r="CG21" s="12" t="n"/>
      <c r="CH21" s="12" t="n"/>
      <c r="CI21" s="14">
        <f>IF(ISBLANK(C21), "", CG21+CH21)</f>
        <v/>
      </c>
      <c r="CJ21" s="12" t="n"/>
      <c r="CK21" s="12" t="n"/>
      <c r="CL21" s="14">
        <f>IF(ISBLANK(C21), "", CJ21+CK21)</f>
        <v/>
      </c>
      <c r="CM21" s="12" t="n"/>
      <c r="CN21" s="12" t="n"/>
      <c r="CO21" s="14">
        <f>IF(ISBLANK(C21), "", CM21+CN21)</f>
        <v/>
      </c>
      <c r="CP21" s="25">
        <f>IF(ISBLANK(C21), "", F21+I21+L21+O21+R21+U21+X21+AA21+AD21+AG21+AJ21+AM21+AP21+AS21+AV21+AY21+BB21+BE21+BH21+BK21+BN21+BQ21+BT21+BW21+BZ21+CC21+CF21+CI21+CL21+CO21)</f>
        <v/>
      </c>
      <c r="CQ21" s="17">
        <f>IF(OR(ISBLANK(C21), CP21=""), "", ROUND((CP21/3000)*100, 1))</f>
        <v/>
      </c>
      <c r="CR21" s="14">
        <f>IF(OR(ISBLANK(C21), CP21=""), "", IF(AND(F21&gt;=35, I21&gt;=35, L21&gt;=35, O21&gt;=35, R21&gt;=35, U21&gt;=35, X21&gt;=35, AA21&gt;=35, AD21&gt;=35, AG21&gt;=35, AJ21&gt;=35, AM21&gt;=35, AP21&gt;=35, AS21&gt;=35, AV21&gt;=35, AY21&gt;=35, BB21&gt;=35, BE21&gt;=35, BH21&gt;=35, BK21&gt;=35, BN21&gt;=35, BQ21&gt;=35, BT21&gt;=35, BW21&gt;=35, BZ21&gt;=35, CC21&gt;=35, CF21&gt;=35, CI21&gt;=35, CL21&gt;=35, CO21&gt;=35), "PASS", "FAIL"))</f>
        <v/>
      </c>
      <c r="CS21" s="14">
        <f>IF(OR(ISBLANK(C21), CR21=""), "", IF(CR21="FAIL", "F", IF(CQ21&gt;=90, "A+", IF(CQ21&gt;=80, "A", IF(CQ21&gt;=70, "B", IF(CQ21&gt;=50, "C", "D"))))))</f>
        <v/>
      </c>
      <c r="CT21" s="14">
        <f>IF(OR(ISBLANK(C21), CP21=""), "", RANK(CP21, $CP$6:$CP$30))</f>
        <v/>
      </c>
    </row>
    <row r="22">
      <c r="A22" s="5" t="inlineStr"/>
      <c r="B22" s="5" t="inlineStr"/>
      <c r="C22" s="6" t="inlineStr"/>
      <c r="D22" s="5" t="n"/>
      <c r="E22" s="5" t="n"/>
      <c r="F22" s="7">
        <f>IF(ISBLANK(C22), "", D22+E22)</f>
        <v/>
      </c>
      <c r="G22" s="5" t="n"/>
      <c r="H22" s="5" t="n"/>
      <c r="I22" s="7">
        <f>IF(ISBLANK(C22), "", G22+H22)</f>
        <v/>
      </c>
      <c r="J22" s="5" t="n"/>
      <c r="K22" s="5" t="n"/>
      <c r="L22" s="7">
        <f>IF(ISBLANK(C22), "", J22+K22)</f>
        <v/>
      </c>
      <c r="M22" s="5" t="n"/>
      <c r="N22" s="5" t="n"/>
      <c r="O22" s="7">
        <f>IF(ISBLANK(C22), "", M22+N22)</f>
        <v/>
      </c>
      <c r="P22" s="5" t="n"/>
      <c r="Q22" s="5" t="n"/>
      <c r="R22" s="7">
        <f>IF(ISBLANK(C22), "", P22+Q22)</f>
        <v/>
      </c>
      <c r="S22" s="5" t="n"/>
      <c r="T22" s="5" t="n"/>
      <c r="U22" s="7">
        <f>IF(ISBLANK(C22), "", S22+T22)</f>
        <v/>
      </c>
      <c r="V22" s="5" t="n"/>
      <c r="W22" s="5" t="n"/>
      <c r="X22" s="7">
        <f>IF(ISBLANK(C22), "", V22+W22)</f>
        <v/>
      </c>
      <c r="Y22" s="5" t="n"/>
      <c r="Z22" s="5" t="n"/>
      <c r="AA22" s="7">
        <f>IF(ISBLANK(C22), "", Y22+Z22)</f>
        <v/>
      </c>
      <c r="AB22" s="5" t="n"/>
      <c r="AC22" s="5" t="n"/>
      <c r="AD22" s="7">
        <f>IF(ISBLANK(C22), "", AB22+AC22)</f>
        <v/>
      </c>
      <c r="AE22" s="5" t="n"/>
      <c r="AF22" s="5" t="n"/>
      <c r="AG22" s="7">
        <f>IF(ISBLANK(C22), "", AE22+AF22)</f>
        <v/>
      </c>
      <c r="AH22" s="5" t="n"/>
      <c r="AI22" s="5" t="n"/>
      <c r="AJ22" s="7">
        <f>IF(ISBLANK(C22), "", AH22+AI22)</f>
        <v/>
      </c>
      <c r="AK22" s="5" t="n"/>
      <c r="AL22" s="5" t="n"/>
      <c r="AM22" s="7">
        <f>IF(ISBLANK(C22), "", AK22+AL22)</f>
        <v/>
      </c>
      <c r="AN22" s="5" t="n"/>
      <c r="AO22" s="5" t="n"/>
      <c r="AP22" s="7">
        <f>IF(ISBLANK(C22), "", AN22+AO22)</f>
        <v/>
      </c>
      <c r="AQ22" s="5" t="n"/>
      <c r="AR22" s="5" t="n"/>
      <c r="AS22" s="7">
        <f>IF(ISBLANK(C22), "", AQ22+AR22)</f>
        <v/>
      </c>
      <c r="AT22" s="5" t="n"/>
      <c r="AU22" s="5" t="n"/>
      <c r="AV22" s="7">
        <f>IF(ISBLANK(C22), "", AT22+AU22)</f>
        <v/>
      </c>
      <c r="AW22" s="5" t="n"/>
      <c r="AX22" s="5" t="n"/>
      <c r="AY22" s="7">
        <f>IF(ISBLANK(C22), "", AW22+AX22)</f>
        <v/>
      </c>
      <c r="AZ22" s="5" t="n"/>
      <c r="BA22" s="5" t="n"/>
      <c r="BB22" s="7">
        <f>IF(ISBLANK(C22), "", AZ22+BA22)</f>
        <v/>
      </c>
      <c r="BC22" s="5" t="n"/>
      <c r="BD22" s="5" t="n"/>
      <c r="BE22" s="7">
        <f>IF(ISBLANK(C22), "", BC22+BD22)</f>
        <v/>
      </c>
      <c r="BF22" s="5" t="n"/>
      <c r="BG22" s="5" t="n"/>
      <c r="BH22" s="7">
        <f>IF(ISBLANK(C22), "", BF22+BG22)</f>
        <v/>
      </c>
      <c r="BI22" s="5" t="n"/>
      <c r="BJ22" s="5" t="n"/>
      <c r="BK22" s="7">
        <f>IF(ISBLANK(C22), "", BI22+BJ22)</f>
        <v/>
      </c>
      <c r="BL22" s="5" t="n"/>
      <c r="BM22" s="5" t="n"/>
      <c r="BN22" s="7">
        <f>IF(ISBLANK(C22), "", BL22+BM22)</f>
        <v/>
      </c>
      <c r="BO22" s="5" t="n"/>
      <c r="BP22" s="5" t="n"/>
      <c r="BQ22" s="7">
        <f>IF(ISBLANK(C22), "", BO22+BP22)</f>
        <v/>
      </c>
      <c r="BR22" s="5" t="n"/>
      <c r="BS22" s="5" t="n"/>
      <c r="BT22" s="7">
        <f>IF(ISBLANK(C22), "", BR22+BS22)</f>
        <v/>
      </c>
      <c r="BU22" s="5" t="n"/>
      <c r="BV22" s="5" t="n"/>
      <c r="BW22" s="7">
        <f>IF(ISBLANK(C22), "", BU22+BV22)</f>
        <v/>
      </c>
      <c r="BX22" s="5" t="n"/>
      <c r="BY22" s="5" t="n"/>
      <c r="BZ22" s="7">
        <f>IF(ISBLANK(C22), "", BX22+BY22)</f>
        <v/>
      </c>
      <c r="CA22" s="5" t="n"/>
      <c r="CB22" s="5" t="n"/>
      <c r="CC22" s="7">
        <f>IF(ISBLANK(C22), "", CA22+CB22)</f>
        <v/>
      </c>
      <c r="CD22" s="5" t="n"/>
      <c r="CE22" s="5" t="n"/>
      <c r="CF22" s="7">
        <f>IF(ISBLANK(C22), "", CD22+CE22)</f>
        <v/>
      </c>
      <c r="CG22" s="5" t="n"/>
      <c r="CH22" s="5" t="n"/>
      <c r="CI22" s="7">
        <f>IF(ISBLANK(C22), "", CG22+CH22)</f>
        <v/>
      </c>
      <c r="CJ22" s="5" t="n"/>
      <c r="CK22" s="5" t="n"/>
      <c r="CL22" s="7">
        <f>IF(ISBLANK(C22), "", CJ22+CK22)</f>
        <v/>
      </c>
      <c r="CM22" s="5" t="n"/>
      <c r="CN22" s="5" t="n"/>
      <c r="CO22" s="7">
        <f>IF(ISBLANK(C22), "", CM22+CN22)</f>
        <v/>
      </c>
      <c r="CP22" s="24">
        <f>IF(ISBLANK(C22), "", F22+I22+L22+O22+R22+U22+X22+AA22+AD22+AG22+AJ22+AM22+AP22+AS22+AV22+AY22+BB22+BE22+BH22+BK22+BN22+BQ22+BT22+BW22+BZ22+CC22+CF22+CI22+CL22+CO22)</f>
        <v/>
      </c>
      <c r="CQ22" s="10">
        <f>IF(OR(ISBLANK(C22), CP22=""), "", ROUND((CP22/3000)*100, 1))</f>
        <v/>
      </c>
      <c r="CR22" s="7">
        <f>IF(OR(ISBLANK(C22), CP22=""), "", IF(AND(F22&gt;=35, I22&gt;=35, L22&gt;=35, O22&gt;=35, R22&gt;=35, U22&gt;=35, X22&gt;=35, AA22&gt;=35, AD22&gt;=35, AG22&gt;=35, AJ22&gt;=35, AM22&gt;=35, AP22&gt;=35, AS22&gt;=35, AV22&gt;=35, AY22&gt;=35, BB22&gt;=35, BE22&gt;=35, BH22&gt;=35, BK22&gt;=35, BN22&gt;=35, BQ22&gt;=35, BT22&gt;=35, BW22&gt;=35, BZ22&gt;=35, CC22&gt;=35, CF22&gt;=35, CI22&gt;=35, CL22&gt;=35, CO22&gt;=35), "PASS", "FAIL"))</f>
        <v/>
      </c>
      <c r="CS22" s="7">
        <f>IF(OR(ISBLANK(C22), CR22=""), "", IF(CR22="FAIL", "F", IF(CQ22&gt;=90, "A+", IF(CQ22&gt;=80, "A", IF(CQ22&gt;=70, "B", IF(CQ22&gt;=50, "C", "D"))))))</f>
        <v/>
      </c>
      <c r="CT22" s="7">
        <f>IF(OR(ISBLANK(C22), CP22=""), "", RANK(CP22, $CP$6:$CP$30))</f>
        <v/>
      </c>
    </row>
    <row r="23">
      <c r="A23" s="12" t="inlineStr"/>
      <c r="B23" s="12" t="inlineStr"/>
      <c r="C23" s="13" t="inlineStr"/>
      <c r="D23" s="12" t="n"/>
      <c r="E23" s="12" t="n"/>
      <c r="F23" s="14">
        <f>IF(ISBLANK(C23), "", D23+E23)</f>
        <v/>
      </c>
      <c r="G23" s="12" t="n"/>
      <c r="H23" s="12" t="n"/>
      <c r="I23" s="14">
        <f>IF(ISBLANK(C23), "", G23+H23)</f>
        <v/>
      </c>
      <c r="J23" s="12" t="n"/>
      <c r="K23" s="12" t="n"/>
      <c r="L23" s="14">
        <f>IF(ISBLANK(C23), "", J23+K23)</f>
        <v/>
      </c>
      <c r="M23" s="12" t="n"/>
      <c r="N23" s="12" t="n"/>
      <c r="O23" s="14">
        <f>IF(ISBLANK(C23), "", M23+N23)</f>
        <v/>
      </c>
      <c r="P23" s="12" t="n"/>
      <c r="Q23" s="12" t="n"/>
      <c r="R23" s="14">
        <f>IF(ISBLANK(C23), "", P23+Q23)</f>
        <v/>
      </c>
      <c r="S23" s="12" t="n"/>
      <c r="T23" s="12" t="n"/>
      <c r="U23" s="14">
        <f>IF(ISBLANK(C23), "", S23+T23)</f>
        <v/>
      </c>
      <c r="V23" s="12" t="n"/>
      <c r="W23" s="12" t="n"/>
      <c r="X23" s="14">
        <f>IF(ISBLANK(C23), "", V23+W23)</f>
        <v/>
      </c>
      <c r="Y23" s="12" t="n"/>
      <c r="Z23" s="12" t="n"/>
      <c r="AA23" s="14">
        <f>IF(ISBLANK(C23), "", Y23+Z23)</f>
        <v/>
      </c>
      <c r="AB23" s="12" t="n"/>
      <c r="AC23" s="12" t="n"/>
      <c r="AD23" s="14">
        <f>IF(ISBLANK(C23), "", AB23+AC23)</f>
        <v/>
      </c>
      <c r="AE23" s="12" t="n"/>
      <c r="AF23" s="12" t="n"/>
      <c r="AG23" s="14">
        <f>IF(ISBLANK(C23), "", AE23+AF23)</f>
        <v/>
      </c>
      <c r="AH23" s="12" t="n"/>
      <c r="AI23" s="12" t="n"/>
      <c r="AJ23" s="14">
        <f>IF(ISBLANK(C23), "", AH23+AI23)</f>
        <v/>
      </c>
      <c r="AK23" s="12" t="n"/>
      <c r="AL23" s="12" t="n"/>
      <c r="AM23" s="14">
        <f>IF(ISBLANK(C23), "", AK23+AL23)</f>
        <v/>
      </c>
      <c r="AN23" s="12" t="n"/>
      <c r="AO23" s="12" t="n"/>
      <c r="AP23" s="14">
        <f>IF(ISBLANK(C23), "", AN23+AO23)</f>
        <v/>
      </c>
      <c r="AQ23" s="12" t="n"/>
      <c r="AR23" s="12" t="n"/>
      <c r="AS23" s="14">
        <f>IF(ISBLANK(C23), "", AQ23+AR23)</f>
        <v/>
      </c>
      <c r="AT23" s="12" t="n"/>
      <c r="AU23" s="12" t="n"/>
      <c r="AV23" s="14">
        <f>IF(ISBLANK(C23), "", AT23+AU23)</f>
        <v/>
      </c>
      <c r="AW23" s="12" t="n"/>
      <c r="AX23" s="12" t="n"/>
      <c r="AY23" s="14">
        <f>IF(ISBLANK(C23), "", AW23+AX23)</f>
        <v/>
      </c>
      <c r="AZ23" s="12" t="n"/>
      <c r="BA23" s="12" t="n"/>
      <c r="BB23" s="14">
        <f>IF(ISBLANK(C23), "", AZ23+BA23)</f>
        <v/>
      </c>
      <c r="BC23" s="12" t="n"/>
      <c r="BD23" s="12" t="n"/>
      <c r="BE23" s="14">
        <f>IF(ISBLANK(C23), "", BC23+BD23)</f>
        <v/>
      </c>
      <c r="BF23" s="12" t="n"/>
      <c r="BG23" s="12" t="n"/>
      <c r="BH23" s="14">
        <f>IF(ISBLANK(C23), "", BF23+BG23)</f>
        <v/>
      </c>
      <c r="BI23" s="12" t="n"/>
      <c r="BJ23" s="12" t="n"/>
      <c r="BK23" s="14">
        <f>IF(ISBLANK(C23), "", BI23+BJ23)</f>
        <v/>
      </c>
      <c r="BL23" s="12" t="n"/>
      <c r="BM23" s="12" t="n"/>
      <c r="BN23" s="14">
        <f>IF(ISBLANK(C23), "", BL23+BM23)</f>
        <v/>
      </c>
      <c r="BO23" s="12" t="n"/>
      <c r="BP23" s="12" t="n"/>
      <c r="BQ23" s="14">
        <f>IF(ISBLANK(C23), "", BO23+BP23)</f>
        <v/>
      </c>
      <c r="BR23" s="12" t="n"/>
      <c r="BS23" s="12" t="n"/>
      <c r="BT23" s="14">
        <f>IF(ISBLANK(C23), "", BR23+BS23)</f>
        <v/>
      </c>
      <c r="BU23" s="12" t="n"/>
      <c r="BV23" s="12" t="n"/>
      <c r="BW23" s="14">
        <f>IF(ISBLANK(C23), "", BU23+BV23)</f>
        <v/>
      </c>
      <c r="BX23" s="12" t="n"/>
      <c r="BY23" s="12" t="n"/>
      <c r="BZ23" s="14">
        <f>IF(ISBLANK(C23), "", BX23+BY23)</f>
        <v/>
      </c>
      <c r="CA23" s="12" t="n"/>
      <c r="CB23" s="12" t="n"/>
      <c r="CC23" s="14">
        <f>IF(ISBLANK(C23), "", CA23+CB23)</f>
        <v/>
      </c>
      <c r="CD23" s="12" t="n"/>
      <c r="CE23" s="12" t="n"/>
      <c r="CF23" s="14">
        <f>IF(ISBLANK(C23), "", CD23+CE23)</f>
        <v/>
      </c>
      <c r="CG23" s="12" t="n"/>
      <c r="CH23" s="12" t="n"/>
      <c r="CI23" s="14">
        <f>IF(ISBLANK(C23), "", CG23+CH23)</f>
        <v/>
      </c>
      <c r="CJ23" s="12" t="n"/>
      <c r="CK23" s="12" t="n"/>
      <c r="CL23" s="14">
        <f>IF(ISBLANK(C23), "", CJ23+CK23)</f>
        <v/>
      </c>
      <c r="CM23" s="12" t="n"/>
      <c r="CN23" s="12" t="n"/>
      <c r="CO23" s="14">
        <f>IF(ISBLANK(C23), "", CM23+CN23)</f>
        <v/>
      </c>
      <c r="CP23" s="25">
        <f>IF(ISBLANK(C23), "", F23+I23+L23+O23+R23+U23+X23+AA23+AD23+AG23+AJ23+AM23+AP23+AS23+AV23+AY23+BB23+BE23+BH23+BK23+BN23+BQ23+BT23+BW23+BZ23+CC23+CF23+CI23+CL23+CO23)</f>
        <v/>
      </c>
      <c r="CQ23" s="17">
        <f>IF(OR(ISBLANK(C23), CP23=""), "", ROUND((CP23/3000)*100, 1))</f>
        <v/>
      </c>
      <c r="CR23" s="14">
        <f>IF(OR(ISBLANK(C23), CP23=""), "", IF(AND(F23&gt;=35, I23&gt;=35, L23&gt;=35, O23&gt;=35, R23&gt;=35, U23&gt;=35, X23&gt;=35, AA23&gt;=35, AD23&gt;=35, AG23&gt;=35, AJ23&gt;=35, AM23&gt;=35, AP23&gt;=35, AS23&gt;=35, AV23&gt;=35, AY23&gt;=35, BB23&gt;=35, BE23&gt;=35, BH23&gt;=35, BK23&gt;=35, BN23&gt;=35, BQ23&gt;=35, BT23&gt;=35, BW23&gt;=35, BZ23&gt;=35, CC23&gt;=35, CF23&gt;=35, CI23&gt;=35, CL23&gt;=35, CO23&gt;=35), "PASS", "FAIL"))</f>
        <v/>
      </c>
      <c r="CS23" s="14">
        <f>IF(OR(ISBLANK(C23), CR23=""), "", IF(CR23="FAIL", "F", IF(CQ23&gt;=90, "A+", IF(CQ23&gt;=80, "A", IF(CQ23&gt;=70, "B", IF(CQ23&gt;=50, "C", "D"))))))</f>
        <v/>
      </c>
      <c r="CT23" s="14">
        <f>IF(OR(ISBLANK(C23), CP23=""), "", RANK(CP23, $CP$6:$CP$30))</f>
        <v/>
      </c>
    </row>
    <row r="24">
      <c r="A24" s="5" t="inlineStr"/>
      <c r="B24" s="5" t="inlineStr"/>
      <c r="C24" s="6" t="inlineStr"/>
      <c r="D24" s="5" t="n"/>
      <c r="E24" s="5" t="n"/>
      <c r="F24" s="7">
        <f>IF(ISBLANK(C24), "", D24+E24)</f>
        <v/>
      </c>
      <c r="G24" s="5" t="n"/>
      <c r="H24" s="5" t="n"/>
      <c r="I24" s="7">
        <f>IF(ISBLANK(C24), "", G24+H24)</f>
        <v/>
      </c>
      <c r="J24" s="5" t="n"/>
      <c r="K24" s="5" t="n"/>
      <c r="L24" s="7">
        <f>IF(ISBLANK(C24), "", J24+K24)</f>
        <v/>
      </c>
      <c r="M24" s="5" t="n"/>
      <c r="N24" s="5" t="n"/>
      <c r="O24" s="7">
        <f>IF(ISBLANK(C24), "", M24+N24)</f>
        <v/>
      </c>
      <c r="P24" s="5" t="n"/>
      <c r="Q24" s="5" t="n"/>
      <c r="R24" s="7">
        <f>IF(ISBLANK(C24), "", P24+Q24)</f>
        <v/>
      </c>
      <c r="S24" s="5" t="n"/>
      <c r="T24" s="5" t="n"/>
      <c r="U24" s="7">
        <f>IF(ISBLANK(C24), "", S24+T24)</f>
        <v/>
      </c>
      <c r="V24" s="5" t="n"/>
      <c r="W24" s="5" t="n"/>
      <c r="X24" s="7">
        <f>IF(ISBLANK(C24), "", V24+W24)</f>
        <v/>
      </c>
      <c r="Y24" s="5" t="n"/>
      <c r="Z24" s="5" t="n"/>
      <c r="AA24" s="7">
        <f>IF(ISBLANK(C24), "", Y24+Z24)</f>
        <v/>
      </c>
      <c r="AB24" s="5" t="n"/>
      <c r="AC24" s="5" t="n"/>
      <c r="AD24" s="7">
        <f>IF(ISBLANK(C24), "", AB24+AC24)</f>
        <v/>
      </c>
      <c r="AE24" s="5" t="n"/>
      <c r="AF24" s="5" t="n"/>
      <c r="AG24" s="7">
        <f>IF(ISBLANK(C24), "", AE24+AF24)</f>
        <v/>
      </c>
      <c r="AH24" s="5" t="n"/>
      <c r="AI24" s="5" t="n"/>
      <c r="AJ24" s="7">
        <f>IF(ISBLANK(C24), "", AH24+AI24)</f>
        <v/>
      </c>
      <c r="AK24" s="5" t="n"/>
      <c r="AL24" s="5" t="n"/>
      <c r="AM24" s="7">
        <f>IF(ISBLANK(C24), "", AK24+AL24)</f>
        <v/>
      </c>
      <c r="AN24" s="5" t="n"/>
      <c r="AO24" s="5" t="n"/>
      <c r="AP24" s="7">
        <f>IF(ISBLANK(C24), "", AN24+AO24)</f>
        <v/>
      </c>
      <c r="AQ24" s="5" t="n"/>
      <c r="AR24" s="5" t="n"/>
      <c r="AS24" s="7">
        <f>IF(ISBLANK(C24), "", AQ24+AR24)</f>
        <v/>
      </c>
      <c r="AT24" s="5" t="n"/>
      <c r="AU24" s="5" t="n"/>
      <c r="AV24" s="7">
        <f>IF(ISBLANK(C24), "", AT24+AU24)</f>
        <v/>
      </c>
      <c r="AW24" s="5" t="n"/>
      <c r="AX24" s="5" t="n"/>
      <c r="AY24" s="7">
        <f>IF(ISBLANK(C24), "", AW24+AX24)</f>
        <v/>
      </c>
      <c r="AZ24" s="5" t="n"/>
      <c r="BA24" s="5" t="n"/>
      <c r="BB24" s="7">
        <f>IF(ISBLANK(C24), "", AZ24+BA24)</f>
        <v/>
      </c>
      <c r="BC24" s="5" t="n"/>
      <c r="BD24" s="5" t="n"/>
      <c r="BE24" s="7">
        <f>IF(ISBLANK(C24), "", BC24+BD24)</f>
        <v/>
      </c>
      <c r="BF24" s="5" t="n"/>
      <c r="BG24" s="5" t="n"/>
      <c r="BH24" s="7">
        <f>IF(ISBLANK(C24), "", BF24+BG24)</f>
        <v/>
      </c>
      <c r="BI24" s="5" t="n"/>
      <c r="BJ24" s="5" t="n"/>
      <c r="BK24" s="7">
        <f>IF(ISBLANK(C24), "", BI24+BJ24)</f>
        <v/>
      </c>
      <c r="BL24" s="5" t="n"/>
      <c r="BM24" s="5" t="n"/>
      <c r="BN24" s="7">
        <f>IF(ISBLANK(C24), "", BL24+BM24)</f>
        <v/>
      </c>
      <c r="BO24" s="5" t="n"/>
      <c r="BP24" s="5" t="n"/>
      <c r="BQ24" s="7">
        <f>IF(ISBLANK(C24), "", BO24+BP24)</f>
        <v/>
      </c>
      <c r="BR24" s="5" t="n"/>
      <c r="BS24" s="5" t="n"/>
      <c r="BT24" s="7">
        <f>IF(ISBLANK(C24), "", BR24+BS24)</f>
        <v/>
      </c>
      <c r="BU24" s="5" t="n"/>
      <c r="BV24" s="5" t="n"/>
      <c r="BW24" s="7">
        <f>IF(ISBLANK(C24), "", BU24+BV24)</f>
        <v/>
      </c>
      <c r="BX24" s="5" t="n"/>
      <c r="BY24" s="5" t="n"/>
      <c r="BZ24" s="7">
        <f>IF(ISBLANK(C24), "", BX24+BY24)</f>
        <v/>
      </c>
      <c r="CA24" s="5" t="n"/>
      <c r="CB24" s="5" t="n"/>
      <c r="CC24" s="7">
        <f>IF(ISBLANK(C24), "", CA24+CB24)</f>
        <v/>
      </c>
      <c r="CD24" s="5" t="n"/>
      <c r="CE24" s="5" t="n"/>
      <c r="CF24" s="7">
        <f>IF(ISBLANK(C24), "", CD24+CE24)</f>
        <v/>
      </c>
      <c r="CG24" s="5" t="n"/>
      <c r="CH24" s="5" t="n"/>
      <c r="CI24" s="7">
        <f>IF(ISBLANK(C24), "", CG24+CH24)</f>
        <v/>
      </c>
      <c r="CJ24" s="5" t="n"/>
      <c r="CK24" s="5" t="n"/>
      <c r="CL24" s="7">
        <f>IF(ISBLANK(C24), "", CJ24+CK24)</f>
        <v/>
      </c>
      <c r="CM24" s="5" t="n"/>
      <c r="CN24" s="5" t="n"/>
      <c r="CO24" s="7">
        <f>IF(ISBLANK(C24), "", CM24+CN24)</f>
        <v/>
      </c>
      <c r="CP24" s="24">
        <f>IF(ISBLANK(C24), "", F24+I24+L24+O24+R24+U24+X24+AA24+AD24+AG24+AJ24+AM24+AP24+AS24+AV24+AY24+BB24+BE24+BH24+BK24+BN24+BQ24+BT24+BW24+BZ24+CC24+CF24+CI24+CL24+CO24)</f>
        <v/>
      </c>
      <c r="CQ24" s="10">
        <f>IF(OR(ISBLANK(C24), CP24=""), "", ROUND((CP24/3000)*100, 1))</f>
        <v/>
      </c>
      <c r="CR24" s="7">
        <f>IF(OR(ISBLANK(C24), CP24=""), "", IF(AND(F24&gt;=35, I24&gt;=35, L24&gt;=35, O24&gt;=35, R24&gt;=35, U24&gt;=35, X24&gt;=35, AA24&gt;=35, AD24&gt;=35, AG24&gt;=35, AJ24&gt;=35, AM24&gt;=35, AP24&gt;=35, AS24&gt;=35, AV24&gt;=35, AY24&gt;=35, BB24&gt;=35, BE24&gt;=35, BH24&gt;=35, BK24&gt;=35, BN24&gt;=35, BQ24&gt;=35, BT24&gt;=35, BW24&gt;=35, BZ24&gt;=35, CC24&gt;=35, CF24&gt;=35, CI24&gt;=35, CL24&gt;=35, CO24&gt;=35), "PASS", "FAIL"))</f>
        <v/>
      </c>
      <c r="CS24" s="7">
        <f>IF(OR(ISBLANK(C24), CR24=""), "", IF(CR24="FAIL", "F", IF(CQ24&gt;=90, "A+", IF(CQ24&gt;=80, "A", IF(CQ24&gt;=70, "B", IF(CQ24&gt;=50, "C", "D"))))))</f>
        <v/>
      </c>
      <c r="CT24" s="7">
        <f>IF(OR(ISBLANK(C24), CP24=""), "", RANK(CP24, $CP$6:$CP$30))</f>
        <v/>
      </c>
    </row>
    <row r="25">
      <c r="A25" s="12" t="inlineStr"/>
      <c r="B25" s="12" t="inlineStr"/>
      <c r="C25" s="13" t="inlineStr"/>
      <c r="D25" s="12" t="n"/>
      <c r="E25" s="12" t="n"/>
      <c r="F25" s="14">
        <f>IF(ISBLANK(C25), "", D25+E25)</f>
        <v/>
      </c>
      <c r="G25" s="12" t="n"/>
      <c r="H25" s="12" t="n"/>
      <c r="I25" s="14">
        <f>IF(ISBLANK(C25), "", G25+H25)</f>
        <v/>
      </c>
      <c r="J25" s="12" t="n"/>
      <c r="K25" s="12" t="n"/>
      <c r="L25" s="14">
        <f>IF(ISBLANK(C25), "", J25+K25)</f>
        <v/>
      </c>
      <c r="M25" s="12" t="n"/>
      <c r="N25" s="12" t="n"/>
      <c r="O25" s="14">
        <f>IF(ISBLANK(C25), "", M25+N25)</f>
        <v/>
      </c>
      <c r="P25" s="12" t="n"/>
      <c r="Q25" s="12" t="n"/>
      <c r="R25" s="14">
        <f>IF(ISBLANK(C25), "", P25+Q25)</f>
        <v/>
      </c>
      <c r="S25" s="12" t="n"/>
      <c r="T25" s="12" t="n"/>
      <c r="U25" s="14">
        <f>IF(ISBLANK(C25), "", S25+T25)</f>
        <v/>
      </c>
      <c r="V25" s="12" t="n"/>
      <c r="W25" s="12" t="n"/>
      <c r="X25" s="14">
        <f>IF(ISBLANK(C25), "", V25+W25)</f>
        <v/>
      </c>
      <c r="Y25" s="12" t="n"/>
      <c r="Z25" s="12" t="n"/>
      <c r="AA25" s="14">
        <f>IF(ISBLANK(C25), "", Y25+Z25)</f>
        <v/>
      </c>
      <c r="AB25" s="12" t="n"/>
      <c r="AC25" s="12" t="n"/>
      <c r="AD25" s="14">
        <f>IF(ISBLANK(C25), "", AB25+AC25)</f>
        <v/>
      </c>
      <c r="AE25" s="12" t="n"/>
      <c r="AF25" s="12" t="n"/>
      <c r="AG25" s="14">
        <f>IF(ISBLANK(C25), "", AE25+AF25)</f>
        <v/>
      </c>
      <c r="AH25" s="12" t="n"/>
      <c r="AI25" s="12" t="n"/>
      <c r="AJ25" s="14">
        <f>IF(ISBLANK(C25), "", AH25+AI25)</f>
        <v/>
      </c>
      <c r="AK25" s="12" t="n"/>
      <c r="AL25" s="12" t="n"/>
      <c r="AM25" s="14">
        <f>IF(ISBLANK(C25), "", AK25+AL25)</f>
        <v/>
      </c>
      <c r="AN25" s="12" t="n"/>
      <c r="AO25" s="12" t="n"/>
      <c r="AP25" s="14">
        <f>IF(ISBLANK(C25), "", AN25+AO25)</f>
        <v/>
      </c>
      <c r="AQ25" s="12" t="n"/>
      <c r="AR25" s="12" t="n"/>
      <c r="AS25" s="14">
        <f>IF(ISBLANK(C25), "", AQ25+AR25)</f>
        <v/>
      </c>
      <c r="AT25" s="12" t="n"/>
      <c r="AU25" s="12" t="n"/>
      <c r="AV25" s="14">
        <f>IF(ISBLANK(C25), "", AT25+AU25)</f>
        <v/>
      </c>
      <c r="AW25" s="12" t="n"/>
      <c r="AX25" s="12" t="n"/>
      <c r="AY25" s="14">
        <f>IF(ISBLANK(C25), "", AW25+AX25)</f>
        <v/>
      </c>
      <c r="AZ25" s="12" t="n"/>
      <c r="BA25" s="12" t="n"/>
      <c r="BB25" s="14">
        <f>IF(ISBLANK(C25), "", AZ25+BA25)</f>
        <v/>
      </c>
      <c r="BC25" s="12" t="n"/>
      <c r="BD25" s="12" t="n"/>
      <c r="BE25" s="14">
        <f>IF(ISBLANK(C25), "", BC25+BD25)</f>
        <v/>
      </c>
      <c r="BF25" s="12" t="n"/>
      <c r="BG25" s="12" t="n"/>
      <c r="BH25" s="14">
        <f>IF(ISBLANK(C25), "", BF25+BG25)</f>
        <v/>
      </c>
      <c r="BI25" s="12" t="n"/>
      <c r="BJ25" s="12" t="n"/>
      <c r="BK25" s="14">
        <f>IF(ISBLANK(C25), "", BI25+BJ25)</f>
        <v/>
      </c>
      <c r="BL25" s="12" t="n"/>
      <c r="BM25" s="12" t="n"/>
      <c r="BN25" s="14">
        <f>IF(ISBLANK(C25), "", BL25+BM25)</f>
        <v/>
      </c>
      <c r="BO25" s="12" t="n"/>
      <c r="BP25" s="12" t="n"/>
      <c r="BQ25" s="14">
        <f>IF(ISBLANK(C25), "", BO25+BP25)</f>
        <v/>
      </c>
      <c r="BR25" s="12" t="n"/>
      <c r="BS25" s="12" t="n"/>
      <c r="BT25" s="14">
        <f>IF(ISBLANK(C25), "", BR25+BS25)</f>
        <v/>
      </c>
      <c r="BU25" s="12" t="n"/>
      <c r="BV25" s="12" t="n"/>
      <c r="BW25" s="14">
        <f>IF(ISBLANK(C25), "", BU25+BV25)</f>
        <v/>
      </c>
      <c r="BX25" s="12" t="n"/>
      <c r="BY25" s="12" t="n"/>
      <c r="BZ25" s="14">
        <f>IF(ISBLANK(C25), "", BX25+BY25)</f>
        <v/>
      </c>
      <c r="CA25" s="12" t="n"/>
      <c r="CB25" s="12" t="n"/>
      <c r="CC25" s="14">
        <f>IF(ISBLANK(C25), "", CA25+CB25)</f>
        <v/>
      </c>
      <c r="CD25" s="12" t="n"/>
      <c r="CE25" s="12" t="n"/>
      <c r="CF25" s="14">
        <f>IF(ISBLANK(C25), "", CD25+CE25)</f>
        <v/>
      </c>
      <c r="CG25" s="12" t="n"/>
      <c r="CH25" s="12" t="n"/>
      <c r="CI25" s="14">
        <f>IF(ISBLANK(C25), "", CG25+CH25)</f>
        <v/>
      </c>
      <c r="CJ25" s="12" t="n"/>
      <c r="CK25" s="12" t="n"/>
      <c r="CL25" s="14">
        <f>IF(ISBLANK(C25), "", CJ25+CK25)</f>
        <v/>
      </c>
      <c r="CM25" s="12" t="n"/>
      <c r="CN25" s="12" t="n"/>
      <c r="CO25" s="14">
        <f>IF(ISBLANK(C25), "", CM25+CN25)</f>
        <v/>
      </c>
      <c r="CP25" s="25">
        <f>IF(ISBLANK(C25), "", F25+I25+L25+O25+R25+U25+X25+AA25+AD25+AG25+AJ25+AM25+AP25+AS25+AV25+AY25+BB25+BE25+BH25+BK25+BN25+BQ25+BT25+BW25+BZ25+CC25+CF25+CI25+CL25+CO25)</f>
        <v/>
      </c>
      <c r="CQ25" s="17">
        <f>IF(OR(ISBLANK(C25), CP25=""), "", ROUND((CP25/3000)*100, 1))</f>
        <v/>
      </c>
      <c r="CR25" s="14">
        <f>IF(OR(ISBLANK(C25), CP25=""), "", IF(AND(F25&gt;=35, I25&gt;=35, L25&gt;=35, O25&gt;=35, R25&gt;=35, U25&gt;=35, X25&gt;=35, AA25&gt;=35, AD25&gt;=35, AG25&gt;=35, AJ25&gt;=35, AM25&gt;=35, AP25&gt;=35, AS25&gt;=35, AV25&gt;=35, AY25&gt;=35, BB25&gt;=35, BE25&gt;=35, BH25&gt;=35, BK25&gt;=35, BN25&gt;=35, BQ25&gt;=35, BT25&gt;=35, BW25&gt;=35, BZ25&gt;=35, CC25&gt;=35, CF25&gt;=35, CI25&gt;=35, CL25&gt;=35, CO25&gt;=35), "PASS", "FAIL"))</f>
        <v/>
      </c>
      <c r="CS25" s="14">
        <f>IF(OR(ISBLANK(C25), CR25=""), "", IF(CR25="FAIL", "F", IF(CQ25&gt;=90, "A+", IF(CQ25&gt;=80, "A", IF(CQ25&gt;=70, "B", IF(CQ25&gt;=50, "C", "D"))))))</f>
        <v/>
      </c>
      <c r="CT25" s="14">
        <f>IF(OR(ISBLANK(C25), CP25=""), "", RANK(CP25, $CP$6:$CP$30))</f>
        <v/>
      </c>
    </row>
    <row r="26">
      <c r="A26" s="5" t="inlineStr"/>
      <c r="B26" s="5" t="inlineStr"/>
      <c r="C26" s="6" t="inlineStr"/>
      <c r="D26" s="5" t="n"/>
      <c r="E26" s="5" t="n"/>
      <c r="F26" s="7">
        <f>IF(ISBLANK(C26), "", D26+E26)</f>
        <v/>
      </c>
      <c r="G26" s="5" t="n"/>
      <c r="H26" s="5" t="n"/>
      <c r="I26" s="7">
        <f>IF(ISBLANK(C26), "", G26+H26)</f>
        <v/>
      </c>
      <c r="J26" s="5" t="n"/>
      <c r="K26" s="5" t="n"/>
      <c r="L26" s="7">
        <f>IF(ISBLANK(C26), "", J26+K26)</f>
        <v/>
      </c>
      <c r="M26" s="5" t="n"/>
      <c r="N26" s="5" t="n"/>
      <c r="O26" s="7">
        <f>IF(ISBLANK(C26), "", M26+N26)</f>
        <v/>
      </c>
      <c r="P26" s="5" t="n"/>
      <c r="Q26" s="5" t="n"/>
      <c r="R26" s="7">
        <f>IF(ISBLANK(C26), "", P26+Q26)</f>
        <v/>
      </c>
      <c r="S26" s="5" t="n"/>
      <c r="T26" s="5" t="n"/>
      <c r="U26" s="7">
        <f>IF(ISBLANK(C26), "", S26+T26)</f>
        <v/>
      </c>
      <c r="V26" s="5" t="n"/>
      <c r="W26" s="5" t="n"/>
      <c r="X26" s="7">
        <f>IF(ISBLANK(C26), "", V26+W26)</f>
        <v/>
      </c>
      <c r="Y26" s="5" t="n"/>
      <c r="Z26" s="5" t="n"/>
      <c r="AA26" s="7">
        <f>IF(ISBLANK(C26), "", Y26+Z26)</f>
        <v/>
      </c>
      <c r="AB26" s="5" t="n"/>
      <c r="AC26" s="5" t="n"/>
      <c r="AD26" s="7">
        <f>IF(ISBLANK(C26), "", AB26+AC26)</f>
        <v/>
      </c>
      <c r="AE26" s="5" t="n"/>
      <c r="AF26" s="5" t="n"/>
      <c r="AG26" s="7">
        <f>IF(ISBLANK(C26), "", AE26+AF26)</f>
        <v/>
      </c>
      <c r="AH26" s="5" t="n"/>
      <c r="AI26" s="5" t="n"/>
      <c r="AJ26" s="7">
        <f>IF(ISBLANK(C26), "", AH26+AI26)</f>
        <v/>
      </c>
      <c r="AK26" s="5" t="n"/>
      <c r="AL26" s="5" t="n"/>
      <c r="AM26" s="7">
        <f>IF(ISBLANK(C26), "", AK26+AL26)</f>
        <v/>
      </c>
      <c r="AN26" s="5" t="n"/>
      <c r="AO26" s="5" t="n"/>
      <c r="AP26" s="7">
        <f>IF(ISBLANK(C26), "", AN26+AO26)</f>
        <v/>
      </c>
      <c r="AQ26" s="5" t="n"/>
      <c r="AR26" s="5" t="n"/>
      <c r="AS26" s="7">
        <f>IF(ISBLANK(C26), "", AQ26+AR26)</f>
        <v/>
      </c>
      <c r="AT26" s="5" t="n"/>
      <c r="AU26" s="5" t="n"/>
      <c r="AV26" s="7">
        <f>IF(ISBLANK(C26), "", AT26+AU26)</f>
        <v/>
      </c>
      <c r="AW26" s="5" t="n"/>
      <c r="AX26" s="5" t="n"/>
      <c r="AY26" s="7">
        <f>IF(ISBLANK(C26), "", AW26+AX26)</f>
        <v/>
      </c>
      <c r="AZ26" s="5" t="n"/>
      <c r="BA26" s="5" t="n"/>
      <c r="BB26" s="7">
        <f>IF(ISBLANK(C26), "", AZ26+BA26)</f>
        <v/>
      </c>
      <c r="BC26" s="5" t="n"/>
      <c r="BD26" s="5" t="n"/>
      <c r="BE26" s="7">
        <f>IF(ISBLANK(C26), "", BC26+BD26)</f>
        <v/>
      </c>
      <c r="BF26" s="5" t="n"/>
      <c r="BG26" s="5" t="n"/>
      <c r="BH26" s="7">
        <f>IF(ISBLANK(C26), "", BF26+BG26)</f>
        <v/>
      </c>
      <c r="BI26" s="5" t="n"/>
      <c r="BJ26" s="5" t="n"/>
      <c r="BK26" s="7">
        <f>IF(ISBLANK(C26), "", BI26+BJ26)</f>
        <v/>
      </c>
      <c r="BL26" s="5" t="n"/>
      <c r="BM26" s="5" t="n"/>
      <c r="BN26" s="7">
        <f>IF(ISBLANK(C26), "", BL26+BM26)</f>
        <v/>
      </c>
      <c r="BO26" s="5" t="n"/>
      <c r="BP26" s="5" t="n"/>
      <c r="BQ26" s="7">
        <f>IF(ISBLANK(C26), "", BO26+BP26)</f>
        <v/>
      </c>
      <c r="BR26" s="5" t="n"/>
      <c r="BS26" s="5" t="n"/>
      <c r="BT26" s="7">
        <f>IF(ISBLANK(C26), "", BR26+BS26)</f>
        <v/>
      </c>
      <c r="BU26" s="5" t="n"/>
      <c r="BV26" s="5" t="n"/>
      <c r="BW26" s="7">
        <f>IF(ISBLANK(C26), "", BU26+BV26)</f>
        <v/>
      </c>
      <c r="BX26" s="5" t="n"/>
      <c r="BY26" s="5" t="n"/>
      <c r="BZ26" s="7">
        <f>IF(ISBLANK(C26), "", BX26+BY26)</f>
        <v/>
      </c>
      <c r="CA26" s="5" t="n"/>
      <c r="CB26" s="5" t="n"/>
      <c r="CC26" s="7">
        <f>IF(ISBLANK(C26), "", CA26+CB26)</f>
        <v/>
      </c>
      <c r="CD26" s="5" t="n"/>
      <c r="CE26" s="5" t="n"/>
      <c r="CF26" s="7">
        <f>IF(ISBLANK(C26), "", CD26+CE26)</f>
        <v/>
      </c>
      <c r="CG26" s="5" t="n"/>
      <c r="CH26" s="5" t="n"/>
      <c r="CI26" s="7">
        <f>IF(ISBLANK(C26), "", CG26+CH26)</f>
        <v/>
      </c>
      <c r="CJ26" s="5" t="n"/>
      <c r="CK26" s="5" t="n"/>
      <c r="CL26" s="7">
        <f>IF(ISBLANK(C26), "", CJ26+CK26)</f>
        <v/>
      </c>
      <c r="CM26" s="5" t="n"/>
      <c r="CN26" s="5" t="n"/>
      <c r="CO26" s="7">
        <f>IF(ISBLANK(C26), "", CM26+CN26)</f>
        <v/>
      </c>
      <c r="CP26" s="24">
        <f>IF(ISBLANK(C26), "", F26+I26+L26+O26+R26+U26+X26+AA26+AD26+AG26+AJ26+AM26+AP26+AS26+AV26+AY26+BB26+BE26+BH26+BK26+BN26+BQ26+BT26+BW26+BZ26+CC26+CF26+CI26+CL26+CO26)</f>
        <v/>
      </c>
      <c r="CQ26" s="10">
        <f>IF(OR(ISBLANK(C26), CP26=""), "", ROUND((CP26/3000)*100, 1))</f>
        <v/>
      </c>
      <c r="CR26" s="7">
        <f>IF(OR(ISBLANK(C26), CP26=""), "", IF(AND(F26&gt;=35, I26&gt;=35, L26&gt;=35, O26&gt;=35, R26&gt;=35, U26&gt;=35, X26&gt;=35, AA26&gt;=35, AD26&gt;=35, AG26&gt;=35, AJ26&gt;=35, AM26&gt;=35, AP26&gt;=35, AS26&gt;=35, AV26&gt;=35, AY26&gt;=35, BB26&gt;=35, BE26&gt;=35, BH26&gt;=35, BK26&gt;=35, BN26&gt;=35, BQ26&gt;=35, BT26&gt;=35, BW26&gt;=35, BZ26&gt;=35, CC26&gt;=35, CF26&gt;=35, CI26&gt;=35, CL26&gt;=35, CO26&gt;=35), "PASS", "FAIL"))</f>
        <v/>
      </c>
      <c r="CS26" s="7">
        <f>IF(OR(ISBLANK(C26), CR26=""), "", IF(CR26="FAIL", "F", IF(CQ26&gt;=90, "A+", IF(CQ26&gt;=80, "A", IF(CQ26&gt;=70, "B", IF(CQ26&gt;=50, "C", "D"))))))</f>
        <v/>
      </c>
      <c r="CT26" s="7">
        <f>IF(OR(ISBLANK(C26), CP26=""), "", RANK(CP26, $CP$6:$CP$30))</f>
        <v/>
      </c>
    </row>
    <row r="27">
      <c r="A27" s="12" t="inlineStr"/>
      <c r="B27" s="12" t="inlineStr"/>
      <c r="C27" s="13" t="inlineStr"/>
      <c r="D27" s="12" t="n"/>
      <c r="E27" s="12" t="n"/>
      <c r="F27" s="14">
        <f>IF(ISBLANK(C27), "", D27+E27)</f>
        <v/>
      </c>
      <c r="G27" s="12" t="n"/>
      <c r="H27" s="12" t="n"/>
      <c r="I27" s="14">
        <f>IF(ISBLANK(C27), "", G27+H27)</f>
        <v/>
      </c>
      <c r="J27" s="12" t="n"/>
      <c r="K27" s="12" t="n"/>
      <c r="L27" s="14">
        <f>IF(ISBLANK(C27), "", J27+K27)</f>
        <v/>
      </c>
      <c r="M27" s="12" t="n"/>
      <c r="N27" s="12" t="n"/>
      <c r="O27" s="14">
        <f>IF(ISBLANK(C27), "", M27+N27)</f>
        <v/>
      </c>
      <c r="P27" s="12" t="n"/>
      <c r="Q27" s="12" t="n"/>
      <c r="R27" s="14">
        <f>IF(ISBLANK(C27), "", P27+Q27)</f>
        <v/>
      </c>
      <c r="S27" s="12" t="n"/>
      <c r="T27" s="12" t="n"/>
      <c r="U27" s="14">
        <f>IF(ISBLANK(C27), "", S27+T27)</f>
        <v/>
      </c>
      <c r="V27" s="12" t="n"/>
      <c r="W27" s="12" t="n"/>
      <c r="X27" s="14">
        <f>IF(ISBLANK(C27), "", V27+W27)</f>
        <v/>
      </c>
      <c r="Y27" s="12" t="n"/>
      <c r="Z27" s="12" t="n"/>
      <c r="AA27" s="14">
        <f>IF(ISBLANK(C27), "", Y27+Z27)</f>
        <v/>
      </c>
      <c r="AB27" s="12" t="n"/>
      <c r="AC27" s="12" t="n"/>
      <c r="AD27" s="14">
        <f>IF(ISBLANK(C27), "", AB27+AC27)</f>
        <v/>
      </c>
      <c r="AE27" s="12" t="n"/>
      <c r="AF27" s="12" t="n"/>
      <c r="AG27" s="14">
        <f>IF(ISBLANK(C27), "", AE27+AF27)</f>
        <v/>
      </c>
      <c r="AH27" s="12" t="n"/>
      <c r="AI27" s="12" t="n"/>
      <c r="AJ27" s="14">
        <f>IF(ISBLANK(C27), "", AH27+AI27)</f>
        <v/>
      </c>
      <c r="AK27" s="12" t="n"/>
      <c r="AL27" s="12" t="n"/>
      <c r="AM27" s="14">
        <f>IF(ISBLANK(C27), "", AK27+AL27)</f>
        <v/>
      </c>
      <c r="AN27" s="12" t="n"/>
      <c r="AO27" s="12" t="n"/>
      <c r="AP27" s="14">
        <f>IF(ISBLANK(C27), "", AN27+AO27)</f>
        <v/>
      </c>
      <c r="AQ27" s="12" t="n"/>
      <c r="AR27" s="12" t="n"/>
      <c r="AS27" s="14">
        <f>IF(ISBLANK(C27), "", AQ27+AR27)</f>
        <v/>
      </c>
      <c r="AT27" s="12" t="n"/>
      <c r="AU27" s="12" t="n"/>
      <c r="AV27" s="14">
        <f>IF(ISBLANK(C27), "", AT27+AU27)</f>
        <v/>
      </c>
      <c r="AW27" s="12" t="n"/>
      <c r="AX27" s="12" t="n"/>
      <c r="AY27" s="14">
        <f>IF(ISBLANK(C27), "", AW27+AX27)</f>
        <v/>
      </c>
      <c r="AZ27" s="12" t="n"/>
      <c r="BA27" s="12" t="n"/>
      <c r="BB27" s="14">
        <f>IF(ISBLANK(C27), "", AZ27+BA27)</f>
        <v/>
      </c>
      <c r="BC27" s="12" t="n"/>
      <c r="BD27" s="12" t="n"/>
      <c r="BE27" s="14">
        <f>IF(ISBLANK(C27), "", BC27+BD27)</f>
        <v/>
      </c>
      <c r="BF27" s="12" t="n"/>
      <c r="BG27" s="12" t="n"/>
      <c r="BH27" s="14">
        <f>IF(ISBLANK(C27), "", BF27+BG27)</f>
        <v/>
      </c>
      <c r="BI27" s="12" t="n"/>
      <c r="BJ27" s="12" t="n"/>
      <c r="BK27" s="14">
        <f>IF(ISBLANK(C27), "", BI27+BJ27)</f>
        <v/>
      </c>
      <c r="BL27" s="12" t="n"/>
      <c r="BM27" s="12" t="n"/>
      <c r="BN27" s="14">
        <f>IF(ISBLANK(C27), "", BL27+BM27)</f>
        <v/>
      </c>
      <c r="BO27" s="12" t="n"/>
      <c r="BP27" s="12" t="n"/>
      <c r="BQ27" s="14">
        <f>IF(ISBLANK(C27), "", BO27+BP27)</f>
        <v/>
      </c>
      <c r="BR27" s="12" t="n"/>
      <c r="BS27" s="12" t="n"/>
      <c r="BT27" s="14">
        <f>IF(ISBLANK(C27), "", BR27+BS27)</f>
        <v/>
      </c>
      <c r="BU27" s="12" t="n"/>
      <c r="BV27" s="12" t="n"/>
      <c r="BW27" s="14">
        <f>IF(ISBLANK(C27), "", BU27+BV27)</f>
        <v/>
      </c>
      <c r="BX27" s="12" t="n"/>
      <c r="BY27" s="12" t="n"/>
      <c r="BZ27" s="14">
        <f>IF(ISBLANK(C27), "", BX27+BY27)</f>
        <v/>
      </c>
      <c r="CA27" s="12" t="n"/>
      <c r="CB27" s="12" t="n"/>
      <c r="CC27" s="14">
        <f>IF(ISBLANK(C27), "", CA27+CB27)</f>
        <v/>
      </c>
      <c r="CD27" s="12" t="n"/>
      <c r="CE27" s="12" t="n"/>
      <c r="CF27" s="14">
        <f>IF(ISBLANK(C27), "", CD27+CE27)</f>
        <v/>
      </c>
      <c r="CG27" s="12" t="n"/>
      <c r="CH27" s="12" t="n"/>
      <c r="CI27" s="14">
        <f>IF(ISBLANK(C27), "", CG27+CH27)</f>
        <v/>
      </c>
      <c r="CJ27" s="12" t="n"/>
      <c r="CK27" s="12" t="n"/>
      <c r="CL27" s="14">
        <f>IF(ISBLANK(C27), "", CJ27+CK27)</f>
        <v/>
      </c>
      <c r="CM27" s="12" t="n"/>
      <c r="CN27" s="12" t="n"/>
      <c r="CO27" s="14">
        <f>IF(ISBLANK(C27), "", CM27+CN27)</f>
        <v/>
      </c>
      <c r="CP27" s="25">
        <f>IF(ISBLANK(C27), "", F27+I27+L27+O27+R27+U27+X27+AA27+AD27+AG27+AJ27+AM27+AP27+AS27+AV27+AY27+BB27+BE27+BH27+BK27+BN27+BQ27+BT27+BW27+BZ27+CC27+CF27+CI27+CL27+CO27)</f>
        <v/>
      </c>
      <c r="CQ27" s="17">
        <f>IF(OR(ISBLANK(C27), CP27=""), "", ROUND((CP27/3000)*100, 1))</f>
        <v/>
      </c>
      <c r="CR27" s="14">
        <f>IF(OR(ISBLANK(C27), CP27=""), "", IF(AND(F27&gt;=35, I27&gt;=35, L27&gt;=35, O27&gt;=35, R27&gt;=35, U27&gt;=35, X27&gt;=35, AA27&gt;=35, AD27&gt;=35, AG27&gt;=35, AJ27&gt;=35, AM27&gt;=35, AP27&gt;=35, AS27&gt;=35, AV27&gt;=35, AY27&gt;=35, BB27&gt;=35, BE27&gt;=35, BH27&gt;=35, BK27&gt;=35, BN27&gt;=35, BQ27&gt;=35, BT27&gt;=35, BW27&gt;=35, BZ27&gt;=35, CC27&gt;=35, CF27&gt;=35, CI27&gt;=35, CL27&gt;=35, CO27&gt;=35), "PASS", "FAIL"))</f>
        <v/>
      </c>
      <c r="CS27" s="14">
        <f>IF(OR(ISBLANK(C27), CR27=""), "", IF(CR27="FAIL", "F", IF(CQ27&gt;=90, "A+", IF(CQ27&gt;=80, "A", IF(CQ27&gt;=70, "B", IF(CQ27&gt;=50, "C", "D"))))))</f>
        <v/>
      </c>
      <c r="CT27" s="14">
        <f>IF(OR(ISBLANK(C27), CP27=""), "", RANK(CP27, $CP$6:$CP$30))</f>
        <v/>
      </c>
    </row>
    <row r="28">
      <c r="A28" s="5" t="inlineStr"/>
      <c r="B28" s="5" t="inlineStr"/>
      <c r="C28" s="6" t="inlineStr"/>
      <c r="D28" s="5" t="n"/>
      <c r="E28" s="5" t="n"/>
      <c r="F28" s="7">
        <f>IF(ISBLANK(C28), "", D28+E28)</f>
        <v/>
      </c>
      <c r="G28" s="5" t="n"/>
      <c r="H28" s="5" t="n"/>
      <c r="I28" s="7">
        <f>IF(ISBLANK(C28), "", G28+H28)</f>
        <v/>
      </c>
      <c r="J28" s="5" t="n"/>
      <c r="K28" s="5" t="n"/>
      <c r="L28" s="7">
        <f>IF(ISBLANK(C28), "", J28+K28)</f>
        <v/>
      </c>
      <c r="M28" s="5" t="n"/>
      <c r="N28" s="5" t="n"/>
      <c r="O28" s="7">
        <f>IF(ISBLANK(C28), "", M28+N28)</f>
        <v/>
      </c>
      <c r="P28" s="5" t="n"/>
      <c r="Q28" s="5" t="n"/>
      <c r="R28" s="7">
        <f>IF(ISBLANK(C28), "", P28+Q28)</f>
        <v/>
      </c>
      <c r="S28" s="5" t="n"/>
      <c r="T28" s="5" t="n"/>
      <c r="U28" s="7">
        <f>IF(ISBLANK(C28), "", S28+T28)</f>
        <v/>
      </c>
      <c r="V28" s="5" t="n"/>
      <c r="W28" s="5" t="n"/>
      <c r="X28" s="7">
        <f>IF(ISBLANK(C28), "", V28+W28)</f>
        <v/>
      </c>
      <c r="Y28" s="5" t="n"/>
      <c r="Z28" s="5" t="n"/>
      <c r="AA28" s="7">
        <f>IF(ISBLANK(C28), "", Y28+Z28)</f>
        <v/>
      </c>
      <c r="AB28" s="5" t="n"/>
      <c r="AC28" s="5" t="n"/>
      <c r="AD28" s="7">
        <f>IF(ISBLANK(C28), "", AB28+AC28)</f>
        <v/>
      </c>
      <c r="AE28" s="5" t="n"/>
      <c r="AF28" s="5" t="n"/>
      <c r="AG28" s="7">
        <f>IF(ISBLANK(C28), "", AE28+AF28)</f>
        <v/>
      </c>
      <c r="AH28" s="5" t="n"/>
      <c r="AI28" s="5" t="n"/>
      <c r="AJ28" s="7">
        <f>IF(ISBLANK(C28), "", AH28+AI28)</f>
        <v/>
      </c>
      <c r="AK28" s="5" t="n"/>
      <c r="AL28" s="5" t="n"/>
      <c r="AM28" s="7">
        <f>IF(ISBLANK(C28), "", AK28+AL28)</f>
        <v/>
      </c>
      <c r="AN28" s="5" t="n"/>
      <c r="AO28" s="5" t="n"/>
      <c r="AP28" s="7">
        <f>IF(ISBLANK(C28), "", AN28+AO28)</f>
        <v/>
      </c>
      <c r="AQ28" s="5" t="n"/>
      <c r="AR28" s="5" t="n"/>
      <c r="AS28" s="7">
        <f>IF(ISBLANK(C28), "", AQ28+AR28)</f>
        <v/>
      </c>
      <c r="AT28" s="5" t="n"/>
      <c r="AU28" s="5" t="n"/>
      <c r="AV28" s="7">
        <f>IF(ISBLANK(C28), "", AT28+AU28)</f>
        <v/>
      </c>
      <c r="AW28" s="5" t="n"/>
      <c r="AX28" s="5" t="n"/>
      <c r="AY28" s="7">
        <f>IF(ISBLANK(C28), "", AW28+AX28)</f>
        <v/>
      </c>
      <c r="AZ28" s="5" t="n"/>
      <c r="BA28" s="5" t="n"/>
      <c r="BB28" s="7">
        <f>IF(ISBLANK(C28), "", AZ28+BA28)</f>
        <v/>
      </c>
      <c r="BC28" s="5" t="n"/>
      <c r="BD28" s="5" t="n"/>
      <c r="BE28" s="7">
        <f>IF(ISBLANK(C28), "", BC28+BD28)</f>
        <v/>
      </c>
      <c r="BF28" s="5" t="n"/>
      <c r="BG28" s="5" t="n"/>
      <c r="BH28" s="7">
        <f>IF(ISBLANK(C28), "", BF28+BG28)</f>
        <v/>
      </c>
      <c r="BI28" s="5" t="n"/>
      <c r="BJ28" s="5" t="n"/>
      <c r="BK28" s="7">
        <f>IF(ISBLANK(C28), "", BI28+BJ28)</f>
        <v/>
      </c>
      <c r="BL28" s="5" t="n"/>
      <c r="BM28" s="5" t="n"/>
      <c r="BN28" s="7">
        <f>IF(ISBLANK(C28), "", BL28+BM28)</f>
        <v/>
      </c>
      <c r="BO28" s="5" t="n"/>
      <c r="BP28" s="5" t="n"/>
      <c r="BQ28" s="7">
        <f>IF(ISBLANK(C28), "", BO28+BP28)</f>
        <v/>
      </c>
      <c r="BR28" s="5" t="n"/>
      <c r="BS28" s="5" t="n"/>
      <c r="BT28" s="7">
        <f>IF(ISBLANK(C28), "", BR28+BS28)</f>
        <v/>
      </c>
      <c r="BU28" s="5" t="n"/>
      <c r="BV28" s="5" t="n"/>
      <c r="BW28" s="7">
        <f>IF(ISBLANK(C28), "", BU28+BV28)</f>
        <v/>
      </c>
      <c r="BX28" s="5" t="n"/>
      <c r="BY28" s="5" t="n"/>
      <c r="BZ28" s="7">
        <f>IF(ISBLANK(C28), "", BX28+BY28)</f>
        <v/>
      </c>
      <c r="CA28" s="5" t="n"/>
      <c r="CB28" s="5" t="n"/>
      <c r="CC28" s="7">
        <f>IF(ISBLANK(C28), "", CA28+CB28)</f>
        <v/>
      </c>
      <c r="CD28" s="5" t="n"/>
      <c r="CE28" s="5" t="n"/>
      <c r="CF28" s="7">
        <f>IF(ISBLANK(C28), "", CD28+CE28)</f>
        <v/>
      </c>
      <c r="CG28" s="5" t="n"/>
      <c r="CH28" s="5" t="n"/>
      <c r="CI28" s="7">
        <f>IF(ISBLANK(C28), "", CG28+CH28)</f>
        <v/>
      </c>
      <c r="CJ28" s="5" t="n"/>
      <c r="CK28" s="5" t="n"/>
      <c r="CL28" s="7">
        <f>IF(ISBLANK(C28), "", CJ28+CK28)</f>
        <v/>
      </c>
      <c r="CM28" s="5" t="n"/>
      <c r="CN28" s="5" t="n"/>
      <c r="CO28" s="7">
        <f>IF(ISBLANK(C28), "", CM28+CN28)</f>
        <v/>
      </c>
      <c r="CP28" s="24">
        <f>IF(ISBLANK(C28), "", F28+I28+L28+O28+R28+U28+X28+AA28+AD28+AG28+AJ28+AM28+AP28+AS28+AV28+AY28+BB28+BE28+BH28+BK28+BN28+BQ28+BT28+BW28+BZ28+CC28+CF28+CI28+CL28+CO28)</f>
        <v/>
      </c>
      <c r="CQ28" s="10">
        <f>IF(OR(ISBLANK(C28), CP28=""), "", ROUND((CP28/3000)*100, 1))</f>
        <v/>
      </c>
      <c r="CR28" s="7">
        <f>IF(OR(ISBLANK(C28), CP28=""), "", IF(AND(F28&gt;=35, I28&gt;=35, L28&gt;=35, O28&gt;=35, R28&gt;=35, U28&gt;=35, X28&gt;=35, AA28&gt;=35, AD28&gt;=35, AG28&gt;=35, AJ28&gt;=35, AM28&gt;=35, AP28&gt;=35, AS28&gt;=35, AV28&gt;=35, AY28&gt;=35, BB28&gt;=35, BE28&gt;=35, BH28&gt;=35, BK28&gt;=35, BN28&gt;=35, BQ28&gt;=35, BT28&gt;=35, BW28&gt;=35, BZ28&gt;=35, CC28&gt;=35, CF28&gt;=35, CI28&gt;=35, CL28&gt;=35, CO28&gt;=35), "PASS", "FAIL"))</f>
        <v/>
      </c>
      <c r="CS28" s="7">
        <f>IF(OR(ISBLANK(C28), CR28=""), "", IF(CR28="FAIL", "F", IF(CQ28&gt;=90, "A+", IF(CQ28&gt;=80, "A", IF(CQ28&gt;=70, "B", IF(CQ28&gt;=50, "C", "D"))))))</f>
        <v/>
      </c>
      <c r="CT28" s="7">
        <f>IF(OR(ISBLANK(C28), CP28=""), "", RANK(CP28, $CP$6:$CP$30))</f>
        <v/>
      </c>
    </row>
    <row r="29">
      <c r="A29" s="12" t="inlineStr"/>
      <c r="B29" s="12" t="inlineStr"/>
      <c r="C29" s="13" t="inlineStr"/>
      <c r="D29" s="12" t="n"/>
      <c r="E29" s="12" t="n"/>
      <c r="F29" s="14">
        <f>IF(ISBLANK(C29), "", D29+E29)</f>
        <v/>
      </c>
      <c r="G29" s="12" t="n"/>
      <c r="H29" s="12" t="n"/>
      <c r="I29" s="14">
        <f>IF(ISBLANK(C29), "", G29+H29)</f>
        <v/>
      </c>
      <c r="J29" s="12" t="n"/>
      <c r="K29" s="12" t="n"/>
      <c r="L29" s="14">
        <f>IF(ISBLANK(C29), "", J29+K29)</f>
        <v/>
      </c>
      <c r="M29" s="12" t="n"/>
      <c r="N29" s="12" t="n"/>
      <c r="O29" s="14">
        <f>IF(ISBLANK(C29), "", M29+N29)</f>
        <v/>
      </c>
      <c r="P29" s="12" t="n"/>
      <c r="Q29" s="12" t="n"/>
      <c r="R29" s="14">
        <f>IF(ISBLANK(C29), "", P29+Q29)</f>
        <v/>
      </c>
      <c r="S29" s="12" t="n"/>
      <c r="T29" s="12" t="n"/>
      <c r="U29" s="14">
        <f>IF(ISBLANK(C29), "", S29+T29)</f>
        <v/>
      </c>
      <c r="V29" s="12" t="n"/>
      <c r="W29" s="12" t="n"/>
      <c r="X29" s="14">
        <f>IF(ISBLANK(C29), "", V29+W29)</f>
        <v/>
      </c>
      <c r="Y29" s="12" t="n"/>
      <c r="Z29" s="12" t="n"/>
      <c r="AA29" s="14">
        <f>IF(ISBLANK(C29), "", Y29+Z29)</f>
        <v/>
      </c>
      <c r="AB29" s="12" t="n"/>
      <c r="AC29" s="12" t="n"/>
      <c r="AD29" s="14">
        <f>IF(ISBLANK(C29), "", AB29+AC29)</f>
        <v/>
      </c>
      <c r="AE29" s="12" t="n"/>
      <c r="AF29" s="12" t="n"/>
      <c r="AG29" s="14">
        <f>IF(ISBLANK(C29), "", AE29+AF29)</f>
        <v/>
      </c>
      <c r="AH29" s="12" t="n"/>
      <c r="AI29" s="12" t="n"/>
      <c r="AJ29" s="14">
        <f>IF(ISBLANK(C29), "", AH29+AI29)</f>
        <v/>
      </c>
      <c r="AK29" s="12" t="n"/>
      <c r="AL29" s="12" t="n"/>
      <c r="AM29" s="14">
        <f>IF(ISBLANK(C29), "", AK29+AL29)</f>
        <v/>
      </c>
      <c r="AN29" s="12" t="n"/>
      <c r="AO29" s="12" t="n"/>
      <c r="AP29" s="14">
        <f>IF(ISBLANK(C29), "", AN29+AO29)</f>
        <v/>
      </c>
      <c r="AQ29" s="12" t="n"/>
      <c r="AR29" s="12" t="n"/>
      <c r="AS29" s="14">
        <f>IF(ISBLANK(C29), "", AQ29+AR29)</f>
        <v/>
      </c>
      <c r="AT29" s="12" t="n"/>
      <c r="AU29" s="12" t="n"/>
      <c r="AV29" s="14">
        <f>IF(ISBLANK(C29), "", AT29+AU29)</f>
        <v/>
      </c>
      <c r="AW29" s="12" t="n"/>
      <c r="AX29" s="12" t="n"/>
      <c r="AY29" s="14">
        <f>IF(ISBLANK(C29), "", AW29+AX29)</f>
        <v/>
      </c>
      <c r="AZ29" s="12" t="n"/>
      <c r="BA29" s="12" t="n"/>
      <c r="BB29" s="14">
        <f>IF(ISBLANK(C29), "", AZ29+BA29)</f>
        <v/>
      </c>
      <c r="BC29" s="12" t="n"/>
      <c r="BD29" s="12" t="n"/>
      <c r="BE29" s="14">
        <f>IF(ISBLANK(C29), "", BC29+BD29)</f>
        <v/>
      </c>
      <c r="BF29" s="12" t="n"/>
      <c r="BG29" s="12" t="n"/>
      <c r="BH29" s="14">
        <f>IF(ISBLANK(C29), "", BF29+BG29)</f>
        <v/>
      </c>
      <c r="BI29" s="12" t="n"/>
      <c r="BJ29" s="12" t="n"/>
      <c r="BK29" s="14">
        <f>IF(ISBLANK(C29), "", BI29+BJ29)</f>
        <v/>
      </c>
      <c r="BL29" s="12" t="n"/>
      <c r="BM29" s="12" t="n"/>
      <c r="BN29" s="14">
        <f>IF(ISBLANK(C29), "", BL29+BM29)</f>
        <v/>
      </c>
      <c r="BO29" s="12" t="n"/>
      <c r="BP29" s="12" t="n"/>
      <c r="BQ29" s="14">
        <f>IF(ISBLANK(C29), "", BO29+BP29)</f>
        <v/>
      </c>
      <c r="BR29" s="12" t="n"/>
      <c r="BS29" s="12" t="n"/>
      <c r="BT29" s="14">
        <f>IF(ISBLANK(C29), "", BR29+BS29)</f>
        <v/>
      </c>
      <c r="BU29" s="12" t="n"/>
      <c r="BV29" s="12" t="n"/>
      <c r="BW29" s="14">
        <f>IF(ISBLANK(C29), "", BU29+BV29)</f>
        <v/>
      </c>
      <c r="BX29" s="12" t="n"/>
      <c r="BY29" s="12" t="n"/>
      <c r="BZ29" s="14">
        <f>IF(ISBLANK(C29), "", BX29+BY29)</f>
        <v/>
      </c>
      <c r="CA29" s="12" t="n"/>
      <c r="CB29" s="12" t="n"/>
      <c r="CC29" s="14">
        <f>IF(ISBLANK(C29), "", CA29+CB29)</f>
        <v/>
      </c>
      <c r="CD29" s="12" t="n"/>
      <c r="CE29" s="12" t="n"/>
      <c r="CF29" s="14">
        <f>IF(ISBLANK(C29), "", CD29+CE29)</f>
        <v/>
      </c>
      <c r="CG29" s="12" t="n"/>
      <c r="CH29" s="12" t="n"/>
      <c r="CI29" s="14">
        <f>IF(ISBLANK(C29), "", CG29+CH29)</f>
        <v/>
      </c>
      <c r="CJ29" s="12" t="n"/>
      <c r="CK29" s="12" t="n"/>
      <c r="CL29" s="14">
        <f>IF(ISBLANK(C29), "", CJ29+CK29)</f>
        <v/>
      </c>
      <c r="CM29" s="12" t="n"/>
      <c r="CN29" s="12" t="n"/>
      <c r="CO29" s="14">
        <f>IF(ISBLANK(C29), "", CM29+CN29)</f>
        <v/>
      </c>
      <c r="CP29" s="25">
        <f>IF(ISBLANK(C29), "", F29+I29+L29+O29+R29+U29+X29+AA29+AD29+AG29+AJ29+AM29+AP29+AS29+AV29+AY29+BB29+BE29+BH29+BK29+BN29+BQ29+BT29+BW29+BZ29+CC29+CF29+CI29+CL29+CO29)</f>
        <v/>
      </c>
      <c r="CQ29" s="17">
        <f>IF(OR(ISBLANK(C29), CP29=""), "", ROUND((CP29/3000)*100, 1))</f>
        <v/>
      </c>
      <c r="CR29" s="14">
        <f>IF(OR(ISBLANK(C29), CP29=""), "", IF(AND(F29&gt;=35, I29&gt;=35, L29&gt;=35, O29&gt;=35, R29&gt;=35, U29&gt;=35, X29&gt;=35, AA29&gt;=35, AD29&gt;=35, AG29&gt;=35, AJ29&gt;=35, AM29&gt;=35, AP29&gt;=35, AS29&gt;=35, AV29&gt;=35, AY29&gt;=35, BB29&gt;=35, BE29&gt;=35, BH29&gt;=35, BK29&gt;=35, BN29&gt;=35, BQ29&gt;=35, BT29&gt;=35, BW29&gt;=35, BZ29&gt;=35, CC29&gt;=35, CF29&gt;=35, CI29&gt;=35, CL29&gt;=35, CO29&gt;=35), "PASS", "FAIL"))</f>
        <v/>
      </c>
      <c r="CS29" s="14">
        <f>IF(OR(ISBLANK(C29), CR29=""), "", IF(CR29="FAIL", "F", IF(CQ29&gt;=90, "A+", IF(CQ29&gt;=80, "A", IF(CQ29&gt;=70, "B", IF(CQ29&gt;=50, "C", "D"))))))</f>
        <v/>
      </c>
      <c r="CT29" s="14">
        <f>IF(OR(ISBLANK(C29), CP29=""), "", RANK(CP29, $CP$6:$CP$30))</f>
        <v/>
      </c>
    </row>
    <row r="30">
      <c r="A30" s="5" t="inlineStr"/>
      <c r="B30" s="5" t="inlineStr"/>
      <c r="C30" s="6" t="inlineStr"/>
      <c r="D30" s="5" t="n"/>
      <c r="E30" s="5" t="n"/>
      <c r="F30" s="7">
        <f>IF(ISBLANK(C30), "", D30+E30)</f>
        <v/>
      </c>
      <c r="G30" s="5" t="n"/>
      <c r="H30" s="5" t="n"/>
      <c r="I30" s="7">
        <f>IF(ISBLANK(C30), "", G30+H30)</f>
        <v/>
      </c>
      <c r="J30" s="5" t="n"/>
      <c r="K30" s="5" t="n"/>
      <c r="L30" s="7">
        <f>IF(ISBLANK(C30), "", J30+K30)</f>
        <v/>
      </c>
      <c r="M30" s="5" t="n"/>
      <c r="N30" s="5" t="n"/>
      <c r="O30" s="7">
        <f>IF(ISBLANK(C30), "", M30+N30)</f>
        <v/>
      </c>
      <c r="P30" s="5" t="n"/>
      <c r="Q30" s="5" t="n"/>
      <c r="R30" s="7">
        <f>IF(ISBLANK(C30), "", P30+Q30)</f>
        <v/>
      </c>
      <c r="S30" s="5" t="n"/>
      <c r="T30" s="5" t="n"/>
      <c r="U30" s="7">
        <f>IF(ISBLANK(C30), "", S30+T30)</f>
        <v/>
      </c>
      <c r="V30" s="5" t="n"/>
      <c r="W30" s="5" t="n"/>
      <c r="X30" s="7">
        <f>IF(ISBLANK(C30), "", V30+W30)</f>
        <v/>
      </c>
      <c r="Y30" s="5" t="n"/>
      <c r="Z30" s="5" t="n"/>
      <c r="AA30" s="7">
        <f>IF(ISBLANK(C30), "", Y30+Z30)</f>
        <v/>
      </c>
      <c r="AB30" s="5" t="n"/>
      <c r="AC30" s="5" t="n"/>
      <c r="AD30" s="7">
        <f>IF(ISBLANK(C30), "", AB30+AC30)</f>
        <v/>
      </c>
      <c r="AE30" s="5" t="n"/>
      <c r="AF30" s="5" t="n"/>
      <c r="AG30" s="7">
        <f>IF(ISBLANK(C30), "", AE30+AF30)</f>
        <v/>
      </c>
      <c r="AH30" s="5" t="n"/>
      <c r="AI30" s="5" t="n"/>
      <c r="AJ30" s="7">
        <f>IF(ISBLANK(C30), "", AH30+AI30)</f>
        <v/>
      </c>
      <c r="AK30" s="5" t="n"/>
      <c r="AL30" s="5" t="n"/>
      <c r="AM30" s="7">
        <f>IF(ISBLANK(C30), "", AK30+AL30)</f>
        <v/>
      </c>
      <c r="AN30" s="5" t="n"/>
      <c r="AO30" s="5" t="n"/>
      <c r="AP30" s="7">
        <f>IF(ISBLANK(C30), "", AN30+AO30)</f>
        <v/>
      </c>
      <c r="AQ30" s="5" t="n"/>
      <c r="AR30" s="5" t="n"/>
      <c r="AS30" s="7">
        <f>IF(ISBLANK(C30), "", AQ30+AR30)</f>
        <v/>
      </c>
      <c r="AT30" s="5" t="n"/>
      <c r="AU30" s="5" t="n"/>
      <c r="AV30" s="7">
        <f>IF(ISBLANK(C30), "", AT30+AU30)</f>
        <v/>
      </c>
      <c r="AW30" s="5" t="n"/>
      <c r="AX30" s="5" t="n"/>
      <c r="AY30" s="7">
        <f>IF(ISBLANK(C30), "", AW30+AX30)</f>
        <v/>
      </c>
      <c r="AZ30" s="5" t="n"/>
      <c r="BA30" s="5" t="n"/>
      <c r="BB30" s="7">
        <f>IF(ISBLANK(C30), "", AZ30+BA30)</f>
        <v/>
      </c>
      <c r="BC30" s="5" t="n"/>
      <c r="BD30" s="5" t="n"/>
      <c r="BE30" s="7">
        <f>IF(ISBLANK(C30), "", BC30+BD30)</f>
        <v/>
      </c>
      <c r="BF30" s="5" t="n"/>
      <c r="BG30" s="5" t="n"/>
      <c r="BH30" s="7">
        <f>IF(ISBLANK(C30), "", BF30+BG30)</f>
        <v/>
      </c>
      <c r="BI30" s="5" t="n"/>
      <c r="BJ30" s="5" t="n"/>
      <c r="BK30" s="7">
        <f>IF(ISBLANK(C30), "", BI30+BJ30)</f>
        <v/>
      </c>
      <c r="BL30" s="5" t="n"/>
      <c r="BM30" s="5" t="n"/>
      <c r="BN30" s="7">
        <f>IF(ISBLANK(C30), "", BL30+BM30)</f>
        <v/>
      </c>
      <c r="BO30" s="5" t="n"/>
      <c r="BP30" s="5" t="n"/>
      <c r="BQ30" s="7">
        <f>IF(ISBLANK(C30), "", BO30+BP30)</f>
        <v/>
      </c>
      <c r="BR30" s="5" t="n"/>
      <c r="BS30" s="5" t="n"/>
      <c r="BT30" s="7">
        <f>IF(ISBLANK(C30), "", BR30+BS30)</f>
        <v/>
      </c>
      <c r="BU30" s="5" t="n"/>
      <c r="BV30" s="5" t="n"/>
      <c r="BW30" s="7">
        <f>IF(ISBLANK(C30), "", BU30+BV30)</f>
        <v/>
      </c>
      <c r="BX30" s="5" t="n"/>
      <c r="BY30" s="5" t="n"/>
      <c r="BZ30" s="7">
        <f>IF(ISBLANK(C30), "", BX30+BY30)</f>
        <v/>
      </c>
      <c r="CA30" s="5" t="n"/>
      <c r="CB30" s="5" t="n"/>
      <c r="CC30" s="7">
        <f>IF(ISBLANK(C30), "", CA30+CB30)</f>
        <v/>
      </c>
      <c r="CD30" s="5" t="n"/>
      <c r="CE30" s="5" t="n"/>
      <c r="CF30" s="7">
        <f>IF(ISBLANK(C30), "", CD30+CE30)</f>
        <v/>
      </c>
      <c r="CG30" s="5" t="n"/>
      <c r="CH30" s="5" t="n"/>
      <c r="CI30" s="7">
        <f>IF(ISBLANK(C30), "", CG30+CH30)</f>
        <v/>
      </c>
      <c r="CJ30" s="5" t="n"/>
      <c r="CK30" s="5" t="n"/>
      <c r="CL30" s="7">
        <f>IF(ISBLANK(C30), "", CJ30+CK30)</f>
        <v/>
      </c>
      <c r="CM30" s="5" t="n"/>
      <c r="CN30" s="5" t="n"/>
      <c r="CO30" s="7">
        <f>IF(ISBLANK(C30), "", CM30+CN30)</f>
        <v/>
      </c>
      <c r="CP30" s="24">
        <f>IF(ISBLANK(C30), "", F30+I30+L30+O30+R30+U30+X30+AA30+AD30+AG30+AJ30+AM30+AP30+AS30+AV30+AY30+BB30+BE30+BH30+BK30+BN30+BQ30+BT30+BW30+BZ30+CC30+CF30+CI30+CL30+CO30)</f>
        <v/>
      </c>
      <c r="CQ30" s="10">
        <f>IF(OR(ISBLANK(C30), CP30=""), "", ROUND((CP30/3000)*100, 1))</f>
        <v/>
      </c>
      <c r="CR30" s="7">
        <f>IF(OR(ISBLANK(C30), CP30=""), "", IF(AND(F30&gt;=35, I30&gt;=35, L30&gt;=35, O30&gt;=35, R30&gt;=35, U30&gt;=35, X30&gt;=35, AA30&gt;=35, AD30&gt;=35, AG30&gt;=35, AJ30&gt;=35, AM30&gt;=35, AP30&gt;=35, AS30&gt;=35, AV30&gt;=35, AY30&gt;=35, BB30&gt;=35, BE30&gt;=35, BH30&gt;=35, BK30&gt;=35, BN30&gt;=35, BQ30&gt;=35, BT30&gt;=35, BW30&gt;=35, BZ30&gt;=35, CC30&gt;=35, CF30&gt;=35, CI30&gt;=35, CL30&gt;=35, CO30&gt;=35), "PASS", "FAIL"))</f>
        <v/>
      </c>
      <c r="CS30" s="7">
        <f>IF(OR(ISBLANK(C30), CR30=""), "", IF(CR30="FAIL", "F", IF(CQ30&gt;=90, "A+", IF(CQ30&gt;=80, "A", IF(CQ30&gt;=70, "B", IF(CQ30&gt;=50, "C", "D"))))))</f>
        <v/>
      </c>
      <c r="CT30" s="7">
        <f>IF(OR(ISBLANK(C30), CP30=""), "", RANK(CP30, $CP$6:$CP$30))</f>
        <v/>
      </c>
    </row>
    <row r="32">
      <c r="A32" t="inlineStr"/>
    </row>
    <row r="33">
      <c r="A33" s="26" t="inlineStr">
        <is>
          <t>CLASS AVERAGE</t>
        </is>
      </c>
      <c r="B33" s="27" t="n"/>
      <c r="C33" s="27" t="n"/>
      <c r="D33" s="28">
        <f>IF(COUNTA(C6:C30)&gt;0, ROUND(AVERAGE(F6:F30), 1), "-")</f>
        <v/>
      </c>
      <c r="E33" s="27" t="n"/>
      <c r="F33" s="27" t="n"/>
      <c r="G33" s="28">
        <f>IF(COUNTA(C6:C30)&gt;0, ROUND(AVERAGE(I6:I30), 1), "-")</f>
        <v/>
      </c>
      <c r="H33" s="27" t="n"/>
      <c r="I33" s="27" t="n"/>
      <c r="J33" s="28">
        <f>IF(COUNTA(C6:C30)&gt;0, ROUND(AVERAGE(L6:L30), 1), "-")</f>
        <v/>
      </c>
      <c r="K33" s="27" t="n"/>
      <c r="L33" s="27" t="n"/>
      <c r="M33" s="28">
        <f>IF(COUNTA(C6:C30)&gt;0, ROUND(AVERAGE(O6:O30), 1), "-")</f>
        <v/>
      </c>
      <c r="N33" s="27" t="n"/>
      <c r="O33" s="27" t="n"/>
      <c r="P33" s="28">
        <f>IF(COUNTA(C6:C30)&gt;0, ROUND(AVERAGE(R6:R30), 1), "-")</f>
        <v/>
      </c>
      <c r="Q33" s="27" t="n"/>
      <c r="R33" s="27" t="n"/>
      <c r="S33" s="28">
        <f>IF(COUNTA(C6:C30)&gt;0, ROUND(AVERAGE(U6:U30), 1), "-")</f>
        <v/>
      </c>
      <c r="T33" s="27" t="n"/>
      <c r="U33" s="27" t="n"/>
      <c r="V33" s="28">
        <f>IF(COUNTA(C6:C30)&gt;0, ROUND(AVERAGE(X6:X30), 1), "-")</f>
        <v/>
      </c>
      <c r="W33" s="27" t="n"/>
      <c r="X33" s="27" t="n"/>
      <c r="Y33" s="28">
        <f>IF(COUNTA(C6:C30)&gt;0, ROUND(AVERAGE(AA6:AA30), 1), "-")</f>
        <v/>
      </c>
      <c r="Z33" s="27" t="n"/>
      <c r="AA33" s="27" t="n"/>
      <c r="AB33" s="28">
        <f>IF(COUNTA(C6:C30)&gt;0, ROUND(AVERAGE(AD6:AD30), 1), "-")</f>
        <v/>
      </c>
      <c r="AC33" s="27" t="n"/>
      <c r="AD33" s="27" t="n"/>
      <c r="AE33" s="28">
        <f>IF(COUNTA(C6:C30)&gt;0, ROUND(AVERAGE(AG6:AG30), 1), "-")</f>
        <v/>
      </c>
      <c r="AF33" s="27" t="n"/>
      <c r="AG33" s="27" t="n"/>
      <c r="AH33" s="28">
        <f>IF(COUNTA(C6:C30)&gt;0, ROUND(AVERAGE(AJ6:AJ30), 1), "-")</f>
        <v/>
      </c>
      <c r="AI33" s="27" t="n"/>
      <c r="AJ33" s="27" t="n"/>
      <c r="AK33" s="28">
        <f>IF(COUNTA(C6:C30)&gt;0, ROUND(AVERAGE(AM6:AM30), 1), "-")</f>
        <v/>
      </c>
      <c r="AL33" s="27" t="n"/>
      <c r="AM33" s="27" t="n"/>
      <c r="AN33" s="28">
        <f>IF(COUNTA(C6:C30)&gt;0, ROUND(AVERAGE(AP6:AP30), 1), "-")</f>
        <v/>
      </c>
      <c r="AO33" s="27" t="n"/>
      <c r="AP33" s="27" t="n"/>
      <c r="AQ33" s="28">
        <f>IF(COUNTA(C6:C30)&gt;0, ROUND(AVERAGE(AS6:AS30), 1), "-")</f>
        <v/>
      </c>
      <c r="AR33" s="27" t="n"/>
      <c r="AS33" s="27" t="n"/>
      <c r="AT33" s="28">
        <f>IF(COUNTA(C6:C30)&gt;0, ROUND(AVERAGE(AV6:AV30), 1), "-")</f>
        <v/>
      </c>
      <c r="AU33" s="27" t="n"/>
      <c r="AV33" s="27" t="n"/>
      <c r="AW33" s="28">
        <f>IF(COUNTA(C6:C30)&gt;0, ROUND(AVERAGE(AY6:AY30), 1), "-")</f>
        <v/>
      </c>
      <c r="AX33" s="27" t="n"/>
      <c r="AY33" s="27" t="n"/>
      <c r="AZ33" s="28">
        <f>IF(COUNTA(C6:C30)&gt;0, ROUND(AVERAGE(BB6:BB30), 1), "-")</f>
        <v/>
      </c>
      <c r="BA33" s="27" t="n"/>
      <c r="BB33" s="27" t="n"/>
      <c r="BC33" s="28">
        <f>IF(COUNTA(C6:C30)&gt;0, ROUND(AVERAGE(BE6:BE30), 1), "-")</f>
        <v/>
      </c>
      <c r="BD33" s="27" t="n"/>
      <c r="BE33" s="27" t="n"/>
      <c r="BF33" s="28">
        <f>IF(COUNTA(C6:C30)&gt;0, ROUND(AVERAGE(BH6:BH30), 1), "-")</f>
        <v/>
      </c>
      <c r="BG33" s="27" t="n"/>
      <c r="BH33" s="27" t="n"/>
      <c r="BI33" s="28">
        <f>IF(COUNTA(C6:C30)&gt;0, ROUND(AVERAGE(BK6:BK30), 1), "-")</f>
        <v/>
      </c>
      <c r="BJ33" s="27" t="n"/>
      <c r="BK33" s="27" t="n"/>
      <c r="BL33" s="28">
        <f>IF(COUNTA(C6:C30)&gt;0, ROUND(AVERAGE(BN6:BN30), 1), "-")</f>
        <v/>
      </c>
      <c r="BM33" s="27" t="n"/>
      <c r="BN33" s="27" t="n"/>
      <c r="BO33" s="28">
        <f>IF(COUNTA(C6:C30)&gt;0, ROUND(AVERAGE(BQ6:BQ30), 1), "-")</f>
        <v/>
      </c>
      <c r="BP33" s="27" t="n"/>
      <c r="BQ33" s="27" t="n"/>
      <c r="BR33" s="28">
        <f>IF(COUNTA(C6:C30)&gt;0, ROUND(AVERAGE(BT6:BT30), 1), "-")</f>
        <v/>
      </c>
      <c r="BS33" s="27" t="n"/>
      <c r="BT33" s="27" t="n"/>
      <c r="BU33" s="28">
        <f>IF(COUNTA(C6:C30)&gt;0, ROUND(AVERAGE(BW6:BW30), 1), "-")</f>
        <v/>
      </c>
      <c r="BV33" s="27" t="n"/>
      <c r="BW33" s="27" t="n"/>
      <c r="BX33" s="28">
        <f>IF(COUNTA(C6:C30)&gt;0, ROUND(AVERAGE(BZ6:BZ30), 1), "-")</f>
        <v/>
      </c>
      <c r="BY33" s="27" t="n"/>
      <c r="BZ33" s="27" t="n"/>
      <c r="CA33" s="28">
        <f>IF(COUNTA(C6:C30)&gt;0, ROUND(AVERAGE(CC6:CC30), 1), "-")</f>
        <v/>
      </c>
      <c r="CB33" s="27" t="n"/>
      <c r="CC33" s="27" t="n"/>
      <c r="CD33" s="28">
        <f>IF(COUNTA(C6:C30)&gt;0, ROUND(AVERAGE(CF6:CF30), 1), "-")</f>
        <v/>
      </c>
      <c r="CE33" s="27" t="n"/>
      <c r="CF33" s="27" t="n"/>
      <c r="CG33" s="28">
        <f>IF(COUNTA(C6:C30)&gt;0, ROUND(AVERAGE(CI6:CI30), 1), "-")</f>
        <v/>
      </c>
      <c r="CH33" s="27" t="n"/>
      <c r="CI33" s="27" t="n"/>
      <c r="CJ33" s="28">
        <f>IF(COUNTA(C6:C30)&gt;0, ROUND(AVERAGE(CL6:CL30), 1), "-")</f>
        <v/>
      </c>
      <c r="CK33" s="27" t="n"/>
      <c r="CL33" s="27" t="n"/>
      <c r="CM33" s="28">
        <f>IF(COUNTA(C6:C30)&gt;0, ROUND(AVERAGE(CO6:CO30), 1), "-")</f>
        <v/>
      </c>
      <c r="CN33" s="27" t="n"/>
      <c r="CO33" s="27" t="n"/>
      <c r="CP33" s="29">
        <f>IF(COUNTA(C6:C30)&gt;0, ROUND(AVERAGE(CP6:CP30), 1), "-")</f>
        <v/>
      </c>
      <c r="CQ33" s="30">
        <f>IF(COUNTA(C6:C30)&gt;0, ROUND(AVERAGE(CQ6:CQ30), 1), "-")</f>
        <v/>
      </c>
      <c r="CR33" s="27" t="n"/>
      <c r="CS33" s="27" t="n"/>
      <c r="CT33" s="27" t="n"/>
    </row>
    <row r="34">
      <c r="A34" s="26" t="inlineStr">
        <is>
          <t>HIGHEST MARKS</t>
        </is>
      </c>
      <c r="B34" s="27" t="n"/>
      <c r="C34" s="27" t="n"/>
      <c r="D34" s="31">
        <f>IF(COUNTA(C6:C30)&gt;0, MAX(F6:F30), "-")</f>
        <v/>
      </c>
      <c r="E34" s="27" t="n"/>
      <c r="F34" s="27" t="n"/>
      <c r="G34" s="31">
        <f>IF(COUNTA(C6:C30)&gt;0, MAX(I6:I30), "-")</f>
        <v/>
      </c>
      <c r="H34" s="27" t="n"/>
      <c r="I34" s="27" t="n"/>
      <c r="J34" s="31">
        <f>IF(COUNTA(C6:C30)&gt;0, MAX(L6:L30), "-")</f>
        <v/>
      </c>
      <c r="K34" s="27" t="n"/>
      <c r="L34" s="27" t="n"/>
      <c r="M34" s="31">
        <f>IF(COUNTA(C6:C30)&gt;0, MAX(O6:O30), "-")</f>
        <v/>
      </c>
      <c r="N34" s="27" t="n"/>
      <c r="O34" s="27" t="n"/>
      <c r="P34" s="31">
        <f>IF(COUNTA(C6:C30)&gt;0, MAX(R6:R30), "-")</f>
        <v/>
      </c>
      <c r="Q34" s="27" t="n"/>
      <c r="R34" s="27" t="n"/>
      <c r="S34" s="31">
        <f>IF(COUNTA(C6:C30)&gt;0, MAX(U6:U30), "-")</f>
        <v/>
      </c>
      <c r="T34" s="27" t="n"/>
      <c r="U34" s="27" t="n"/>
      <c r="V34" s="31">
        <f>IF(COUNTA(C6:C30)&gt;0, MAX(X6:X30), "-")</f>
        <v/>
      </c>
      <c r="W34" s="27" t="n"/>
      <c r="X34" s="27" t="n"/>
      <c r="Y34" s="31">
        <f>IF(COUNTA(C6:C30)&gt;0, MAX(AA6:AA30), "-")</f>
        <v/>
      </c>
      <c r="Z34" s="27" t="n"/>
      <c r="AA34" s="27" t="n"/>
      <c r="AB34" s="31">
        <f>IF(COUNTA(C6:C30)&gt;0, MAX(AD6:AD30), "-")</f>
        <v/>
      </c>
      <c r="AC34" s="27" t="n"/>
      <c r="AD34" s="27" t="n"/>
      <c r="AE34" s="31">
        <f>IF(COUNTA(C6:C30)&gt;0, MAX(AG6:AG30), "-")</f>
        <v/>
      </c>
      <c r="AF34" s="27" t="n"/>
      <c r="AG34" s="27" t="n"/>
      <c r="AH34" s="31">
        <f>IF(COUNTA(C6:C30)&gt;0, MAX(AJ6:AJ30), "-")</f>
        <v/>
      </c>
      <c r="AI34" s="27" t="n"/>
      <c r="AJ34" s="27" t="n"/>
      <c r="AK34" s="31">
        <f>IF(COUNTA(C6:C30)&gt;0, MAX(AM6:AM30), "-")</f>
        <v/>
      </c>
      <c r="AL34" s="27" t="n"/>
      <c r="AM34" s="27" t="n"/>
      <c r="AN34" s="31">
        <f>IF(COUNTA(C6:C30)&gt;0, MAX(AP6:AP30), "-")</f>
        <v/>
      </c>
      <c r="AO34" s="27" t="n"/>
      <c r="AP34" s="27" t="n"/>
      <c r="AQ34" s="31">
        <f>IF(COUNTA(C6:C30)&gt;0, MAX(AS6:AS30), "-")</f>
        <v/>
      </c>
      <c r="AR34" s="27" t="n"/>
      <c r="AS34" s="27" t="n"/>
      <c r="AT34" s="31">
        <f>IF(COUNTA(C6:C30)&gt;0, MAX(AV6:AV30), "-")</f>
        <v/>
      </c>
      <c r="AU34" s="27" t="n"/>
      <c r="AV34" s="27" t="n"/>
      <c r="AW34" s="31">
        <f>IF(COUNTA(C6:C30)&gt;0, MAX(AY6:AY30), "-")</f>
        <v/>
      </c>
      <c r="AX34" s="27" t="n"/>
      <c r="AY34" s="27" t="n"/>
      <c r="AZ34" s="31">
        <f>IF(COUNTA(C6:C30)&gt;0, MAX(BB6:BB30), "-")</f>
        <v/>
      </c>
      <c r="BA34" s="27" t="n"/>
      <c r="BB34" s="27" t="n"/>
      <c r="BC34" s="31">
        <f>IF(COUNTA(C6:C30)&gt;0, MAX(BE6:BE30), "-")</f>
        <v/>
      </c>
      <c r="BD34" s="27" t="n"/>
      <c r="BE34" s="27" t="n"/>
      <c r="BF34" s="31">
        <f>IF(COUNTA(C6:C30)&gt;0, MAX(BH6:BH30), "-")</f>
        <v/>
      </c>
      <c r="BG34" s="27" t="n"/>
      <c r="BH34" s="27" t="n"/>
      <c r="BI34" s="31">
        <f>IF(COUNTA(C6:C30)&gt;0, MAX(BK6:BK30), "-")</f>
        <v/>
      </c>
      <c r="BJ34" s="27" t="n"/>
      <c r="BK34" s="27" t="n"/>
      <c r="BL34" s="31">
        <f>IF(COUNTA(C6:C30)&gt;0, MAX(BN6:BN30), "-")</f>
        <v/>
      </c>
      <c r="BM34" s="27" t="n"/>
      <c r="BN34" s="27" t="n"/>
      <c r="BO34" s="31">
        <f>IF(COUNTA(C6:C30)&gt;0, MAX(BQ6:BQ30), "-")</f>
        <v/>
      </c>
      <c r="BP34" s="27" t="n"/>
      <c r="BQ34" s="27" t="n"/>
      <c r="BR34" s="31">
        <f>IF(COUNTA(C6:C30)&gt;0, MAX(BT6:BT30), "-")</f>
        <v/>
      </c>
      <c r="BS34" s="27" t="n"/>
      <c r="BT34" s="27" t="n"/>
      <c r="BU34" s="31">
        <f>IF(COUNTA(C6:C30)&gt;0, MAX(BW6:BW30), "-")</f>
        <v/>
      </c>
      <c r="BV34" s="27" t="n"/>
      <c r="BW34" s="27" t="n"/>
      <c r="BX34" s="31">
        <f>IF(COUNTA(C6:C30)&gt;0, MAX(BZ6:BZ30), "-")</f>
        <v/>
      </c>
      <c r="BY34" s="27" t="n"/>
      <c r="BZ34" s="27" t="n"/>
      <c r="CA34" s="31">
        <f>IF(COUNTA(C6:C30)&gt;0, MAX(CC6:CC30), "-")</f>
        <v/>
      </c>
      <c r="CB34" s="27" t="n"/>
      <c r="CC34" s="27" t="n"/>
      <c r="CD34" s="31">
        <f>IF(COUNTA(C6:C30)&gt;0, MAX(CF6:CF30), "-")</f>
        <v/>
      </c>
      <c r="CE34" s="27" t="n"/>
      <c r="CF34" s="27" t="n"/>
      <c r="CG34" s="31">
        <f>IF(COUNTA(C6:C30)&gt;0, MAX(CI6:CI30), "-")</f>
        <v/>
      </c>
      <c r="CH34" s="27" t="n"/>
      <c r="CI34" s="27" t="n"/>
      <c r="CJ34" s="31">
        <f>IF(COUNTA(C6:C30)&gt;0, MAX(CL6:CL30), "-")</f>
        <v/>
      </c>
      <c r="CK34" s="27" t="n"/>
      <c r="CL34" s="27" t="n"/>
      <c r="CM34" s="31">
        <f>IF(COUNTA(C6:C30)&gt;0, MAX(CO6:CO30), "-")</f>
        <v/>
      </c>
      <c r="CN34" s="27" t="n"/>
      <c r="CO34" s="27" t="n"/>
      <c r="CP34" s="32">
        <f>IF(COUNTA(C6:C30)&gt;0, MAX(CP6:CP30), "-")</f>
        <v/>
      </c>
      <c r="CQ34" s="30">
        <f>IF(COUNTA(C6:C30)&gt;0, MAX(CQ6:CQ30), "-")</f>
        <v/>
      </c>
      <c r="CR34" s="27" t="n"/>
      <c r="CS34" s="27" t="n"/>
      <c r="CT34" s="27" t="n"/>
    </row>
    <row r="35">
      <c r="A35" s="26" t="inlineStr">
        <is>
          <t>LOWEST MARKS</t>
        </is>
      </c>
      <c r="B35" s="27" t="n"/>
      <c r="C35" s="27" t="n"/>
      <c r="D35" s="31">
        <f>IF(COUNTA(C6:C30)&gt;0, MIN(F6:F30), "-")</f>
        <v/>
      </c>
      <c r="E35" s="27" t="n"/>
      <c r="F35" s="27" t="n"/>
      <c r="G35" s="31">
        <f>IF(COUNTA(C6:C30)&gt;0, MIN(I6:I30), "-")</f>
        <v/>
      </c>
      <c r="H35" s="27" t="n"/>
      <c r="I35" s="27" t="n"/>
      <c r="J35" s="31">
        <f>IF(COUNTA(C6:C30)&gt;0, MIN(L6:L30), "-")</f>
        <v/>
      </c>
      <c r="K35" s="27" t="n"/>
      <c r="L35" s="27" t="n"/>
      <c r="M35" s="31">
        <f>IF(COUNTA(C6:C30)&gt;0, MIN(O6:O30), "-")</f>
        <v/>
      </c>
      <c r="N35" s="27" t="n"/>
      <c r="O35" s="27" t="n"/>
      <c r="P35" s="31">
        <f>IF(COUNTA(C6:C30)&gt;0, MIN(R6:R30), "-")</f>
        <v/>
      </c>
      <c r="Q35" s="27" t="n"/>
      <c r="R35" s="27" t="n"/>
      <c r="S35" s="31">
        <f>IF(COUNTA(C6:C30)&gt;0, MIN(U6:U30), "-")</f>
        <v/>
      </c>
      <c r="T35" s="27" t="n"/>
      <c r="U35" s="27" t="n"/>
      <c r="V35" s="31">
        <f>IF(COUNTA(C6:C30)&gt;0, MIN(X6:X30), "-")</f>
        <v/>
      </c>
      <c r="W35" s="27" t="n"/>
      <c r="X35" s="27" t="n"/>
      <c r="Y35" s="31">
        <f>IF(COUNTA(C6:C30)&gt;0, MIN(AA6:AA30), "-")</f>
        <v/>
      </c>
      <c r="Z35" s="27" t="n"/>
      <c r="AA35" s="27" t="n"/>
      <c r="AB35" s="31">
        <f>IF(COUNTA(C6:C30)&gt;0, MIN(AD6:AD30), "-")</f>
        <v/>
      </c>
      <c r="AC35" s="27" t="n"/>
      <c r="AD35" s="27" t="n"/>
      <c r="AE35" s="31">
        <f>IF(COUNTA(C6:C30)&gt;0, MIN(AG6:AG30), "-")</f>
        <v/>
      </c>
      <c r="AF35" s="27" t="n"/>
      <c r="AG35" s="27" t="n"/>
      <c r="AH35" s="31">
        <f>IF(COUNTA(C6:C30)&gt;0, MIN(AJ6:AJ30), "-")</f>
        <v/>
      </c>
      <c r="AI35" s="27" t="n"/>
      <c r="AJ35" s="27" t="n"/>
      <c r="AK35" s="31">
        <f>IF(COUNTA(C6:C30)&gt;0, MIN(AM6:AM30), "-")</f>
        <v/>
      </c>
      <c r="AL35" s="27" t="n"/>
      <c r="AM35" s="27" t="n"/>
      <c r="AN35" s="31">
        <f>IF(COUNTA(C6:C30)&gt;0, MIN(AP6:AP30), "-")</f>
        <v/>
      </c>
      <c r="AO35" s="27" t="n"/>
      <c r="AP35" s="27" t="n"/>
      <c r="AQ35" s="31">
        <f>IF(COUNTA(C6:C30)&gt;0, MIN(AS6:AS30), "-")</f>
        <v/>
      </c>
      <c r="AR35" s="27" t="n"/>
      <c r="AS35" s="27" t="n"/>
      <c r="AT35" s="31">
        <f>IF(COUNTA(C6:C30)&gt;0, MIN(AV6:AV30), "-")</f>
        <v/>
      </c>
      <c r="AU35" s="27" t="n"/>
      <c r="AV35" s="27" t="n"/>
      <c r="AW35" s="31">
        <f>IF(COUNTA(C6:C30)&gt;0, MIN(AY6:AY30), "-")</f>
        <v/>
      </c>
      <c r="AX35" s="27" t="n"/>
      <c r="AY35" s="27" t="n"/>
      <c r="AZ35" s="31">
        <f>IF(COUNTA(C6:C30)&gt;0, MIN(BB6:BB30), "-")</f>
        <v/>
      </c>
      <c r="BA35" s="27" t="n"/>
      <c r="BB35" s="27" t="n"/>
      <c r="BC35" s="31">
        <f>IF(COUNTA(C6:C30)&gt;0, MIN(BE6:BE30), "-")</f>
        <v/>
      </c>
      <c r="BD35" s="27" t="n"/>
      <c r="BE35" s="27" t="n"/>
      <c r="BF35" s="31">
        <f>IF(COUNTA(C6:C30)&gt;0, MIN(BH6:BH30), "-")</f>
        <v/>
      </c>
      <c r="BG35" s="27" t="n"/>
      <c r="BH35" s="27" t="n"/>
      <c r="BI35" s="31">
        <f>IF(COUNTA(C6:C30)&gt;0, MIN(BK6:BK30), "-")</f>
        <v/>
      </c>
      <c r="BJ35" s="27" t="n"/>
      <c r="BK35" s="27" t="n"/>
      <c r="BL35" s="31">
        <f>IF(COUNTA(C6:C30)&gt;0, MIN(BN6:BN30), "-")</f>
        <v/>
      </c>
      <c r="BM35" s="27" t="n"/>
      <c r="BN35" s="27" t="n"/>
      <c r="BO35" s="31">
        <f>IF(COUNTA(C6:C30)&gt;0, MIN(BQ6:BQ30), "-")</f>
        <v/>
      </c>
      <c r="BP35" s="27" t="n"/>
      <c r="BQ35" s="27" t="n"/>
      <c r="BR35" s="31">
        <f>IF(COUNTA(C6:C30)&gt;0, MIN(BT6:BT30), "-")</f>
        <v/>
      </c>
      <c r="BS35" s="27" t="n"/>
      <c r="BT35" s="27" t="n"/>
      <c r="BU35" s="31">
        <f>IF(COUNTA(C6:C30)&gt;0, MIN(BW6:BW30), "-")</f>
        <v/>
      </c>
      <c r="BV35" s="27" t="n"/>
      <c r="BW35" s="27" t="n"/>
      <c r="BX35" s="31">
        <f>IF(COUNTA(C6:C30)&gt;0, MIN(BZ6:BZ30), "-")</f>
        <v/>
      </c>
      <c r="BY35" s="27" t="n"/>
      <c r="BZ35" s="27" t="n"/>
      <c r="CA35" s="31">
        <f>IF(COUNTA(C6:C30)&gt;0, MIN(CC6:CC30), "-")</f>
        <v/>
      </c>
      <c r="CB35" s="27" t="n"/>
      <c r="CC35" s="27" t="n"/>
      <c r="CD35" s="31">
        <f>IF(COUNTA(C6:C30)&gt;0, MIN(CF6:CF30), "-")</f>
        <v/>
      </c>
      <c r="CE35" s="27" t="n"/>
      <c r="CF35" s="27" t="n"/>
      <c r="CG35" s="31">
        <f>IF(COUNTA(C6:C30)&gt;0, MIN(CI6:CI30), "-")</f>
        <v/>
      </c>
      <c r="CH35" s="27" t="n"/>
      <c r="CI35" s="27" t="n"/>
      <c r="CJ35" s="31">
        <f>IF(COUNTA(C6:C30)&gt;0, MIN(CL6:CL30), "-")</f>
        <v/>
      </c>
      <c r="CK35" s="27" t="n"/>
      <c r="CL35" s="27" t="n"/>
      <c r="CM35" s="31">
        <f>IF(COUNTA(C6:C30)&gt;0, MIN(CO6:CO30), "-")</f>
        <v/>
      </c>
      <c r="CN35" s="27" t="n"/>
      <c r="CO35" s="27" t="n"/>
      <c r="CP35" s="32">
        <f>IF(COUNTA(C6:C30)&gt;0, MIN(CP6:CP30), "-")</f>
        <v/>
      </c>
      <c r="CQ35" s="30">
        <f>IF(COUNTA(C6:C30)&gt;0, MIN(CQ6:CQ30), "-")</f>
        <v/>
      </c>
      <c r="CR35" s="27" t="n"/>
      <c r="CS35" s="27" t="n"/>
      <c r="CT35" s="27" t="n"/>
    </row>
    <row r="36">
      <c r="A36" s="26" t="inlineStr">
        <is>
          <t>TOTAL PASSED</t>
        </is>
      </c>
      <c r="B36" s="27" t="n"/>
      <c r="C36" s="27" t="n"/>
      <c r="D36" s="31">
        <f>COUNTIF(F6:F30, "&gt;=35")</f>
        <v/>
      </c>
      <c r="E36" s="27" t="n"/>
      <c r="F36" s="27" t="n"/>
      <c r="G36" s="31">
        <f>COUNTIF(I6:I30, "&gt;=35")</f>
        <v/>
      </c>
      <c r="H36" s="27" t="n"/>
      <c r="I36" s="27" t="n"/>
      <c r="J36" s="31">
        <f>COUNTIF(L6:L30, "&gt;=35")</f>
        <v/>
      </c>
      <c r="K36" s="27" t="n"/>
      <c r="L36" s="27" t="n"/>
      <c r="M36" s="31">
        <f>COUNTIF(O6:O30, "&gt;=35")</f>
        <v/>
      </c>
      <c r="N36" s="27" t="n"/>
      <c r="O36" s="27" t="n"/>
      <c r="P36" s="31">
        <f>COUNTIF(R6:R30, "&gt;=35")</f>
        <v/>
      </c>
      <c r="Q36" s="27" t="n"/>
      <c r="R36" s="27" t="n"/>
      <c r="S36" s="31">
        <f>COUNTIF(U6:U30, "&gt;=35")</f>
        <v/>
      </c>
      <c r="T36" s="27" t="n"/>
      <c r="U36" s="27" t="n"/>
      <c r="V36" s="31">
        <f>COUNTIF(X6:X30, "&gt;=35")</f>
        <v/>
      </c>
      <c r="W36" s="27" t="n"/>
      <c r="X36" s="27" t="n"/>
      <c r="Y36" s="31">
        <f>COUNTIF(AA6:AA30, "&gt;=35")</f>
        <v/>
      </c>
      <c r="Z36" s="27" t="n"/>
      <c r="AA36" s="27" t="n"/>
      <c r="AB36" s="31">
        <f>COUNTIF(AD6:AD30, "&gt;=35")</f>
        <v/>
      </c>
      <c r="AC36" s="27" t="n"/>
      <c r="AD36" s="27" t="n"/>
      <c r="AE36" s="31">
        <f>COUNTIF(AG6:AG30, "&gt;=35")</f>
        <v/>
      </c>
      <c r="AF36" s="27" t="n"/>
      <c r="AG36" s="27" t="n"/>
      <c r="AH36" s="31">
        <f>COUNTIF(AJ6:AJ30, "&gt;=35")</f>
        <v/>
      </c>
      <c r="AI36" s="27" t="n"/>
      <c r="AJ36" s="27" t="n"/>
      <c r="AK36" s="31">
        <f>COUNTIF(AM6:AM30, "&gt;=35")</f>
        <v/>
      </c>
      <c r="AL36" s="27" t="n"/>
      <c r="AM36" s="27" t="n"/>
      <c r="AN36" s="31">
        <f>COUNTIF(AP6:AP30, "&gt;=35")</f>
        <v/>
      </c>
      <c r="AO36" s="27" t="n"/>
      <c r="AP36" s="27" t="n"/>
      <c r="AQ36" s="31">
        <f>COUNTIF(AS6:AS30, "&gt;=35")</f>
        <v/>
      </c>
      <c r="AR36" s="27" t="n"/>
      <c r="AS36" s="27" t="n"/>
      <c r="AT36" s="31">
        <f>COUNTIF(AV6:AV30, "&gt;=35")</f>
        <v/>
      </c>
      <c r="AU36" s="27" t="n"/>
      <c r="AV36" s="27" t="n"/>
      <c r="AW36" s="31">
        <f>COUNTIF(AY6:AY30, "&gt;=35")</f>
        <v/>
      </c>
      <c r="AX36" s="27" t="n"/>
      <c r="AY36" s="27" t="n"/>
      <c r="AZ36" s="31">
        <f>COUNTIF(BB6:BB30, "&gt;=35")</f>
        <v/>
      </c>
      <c r="BA36" s="27" t="n"/>
      <c r="BB36" s="27" t="n"/>
      <c r="BC36" s="31">
        <f>COUNTIF(BE6:BE30, "&gt;=35")</f>
        <v/>
      </c>
      <c r="BD36" s="27" t="n"/>
      <c r="BE36" s="27" t="n"/>
      <c r="BF36" s="31">
        <f>COUNTIF(BH6:BH30, "&gt;=35")</f>
        <v/>
      </c>
      <c r="BG36" s="27" t="n"/>
      <c r="BH36" s="27" t="n"/>
      <c r="BI36" s="31">
        <f>COUNTIF(BK6:BK30, "&gt;=35")</f>
        <v/>
      </c>
      <c r="BJ36" s="27" t="n"/>
      <c r="BK36" s="27" t="n"/>
      <c r="BL36" s="31">
        <f>COUNTIF(BN6:BN30, "&gt;=35")</f>
        <v/>
      </c>
      <c r="BM36" s="27" t="n"/>
      <c r="BN36" s="27" t="n"/>
      <c r="BO36" s="31">
        <f>COUNTIF(BQ6:BQ30, "&gt;=35")</f>
        <v/>
      </c>
      <c r="BP36" s="27" t="n"/>
      <c r="BQ36" s="27" t="n"/>
      <c r="BR36" s="31">
        <f>COUNTIF(BT6:BT30, "&gt;=35")</f>
        <v/>
      </c>
      <c r="BS36" s="27" t="n"/>
      <c r="BT36" s="27" t="n"/>
      <c r="BU36" s="31">
        <f>COUNTIF(BW6:BW30, "&gt;=35")</f>
        <v/>
      </c>
      <c r="BV36" s="27" t="n"/>
      <c r="BW36" s="27" t="n"/>
      <c r="BX36" s="31">
        <f>COUNTIF(BZ6:BZ30, "&gt;=35")</f>
        <v/>
      </c>
      <c r="BY36" s="27" t="n"/>
      <c r="BZ36" s="27" t="n"/>
      <c r="CA36" s="31">
        <f>COUNTIF(CC6:CC30, "&gt;=35")</f>
        <v/>
      </c>
      <c r="CB36" s="27" t="n"/>
      <c r="CC36" s="27" t="n"/>
      <c r="CD36" s="31">
        <f>COUNTIF(CF6:CF30, "&gt;=35")</f>
        <v/>
      </c>
      <c r="CE36" s="27" t="n"/>
      <c r="CF36" s="27" t="n"/>
      <c r="CG36" s="31">
        <f>COUNTIF(CI6:CI30, "&gt;=35")</f>
        <v/>
      </c>
      <c r="CH36" s="27" t="n"/>
      <c r="CI36" s="27" t="n"/>
      <c r="CJ36" s="31">
        <f>COUNTIF(CL6:CL30, "&gt;=35")</f>
        <v/>
      </c>
      <c r="CK36" s="27" t="n"/>
      <c r="CL36" s="27" t="n"/>
      <c r="CM36" s="31">
        <f>COUNTIF(CO6:CO30, "&gt;=35")</f>
        <v/>
      </c>
      <c r="CN36" s="27" t="n"/>
      <c r="CO36" s="27" t="n"/>
      <c r="CP36" s="32">
        <f>COUNTIF(CR6:CR30, "PASS")</f>
        <v/>
      </c>
      <c r="CQ36" s="31" t="n"/>
      <c r="CR36" s="27" t="n"/>
      <c r="CS36" s="27" t="n"/>
      <c r="CT36" s="27" t="n"/>
    </row>
    <row r="37">
      <c r="A37" s="26" t="inlineStr">
        <is>
          <t>PASS PERCENTAGE (%)</t>
        </is>
      </c>
      <c r="B37" s="27" t="n"/>
      <c r="C37" s="27" t="n"/>
      <c r="D37" s="30">
        <f>IF(COUNTA(C6:C30)&gt;0, ROUND((D36/COUNTA(C6:C30))*100, 1), "-")</f>
        <v/>
      </c>
      <c r="E37" s="27" t="n"/>
      <c r="F37" s="27" t="n"/>
      <c r="G37" s="30">
        <f>IF(COUNTA(C6:C30)&gt;0, ROUND((G36/COUNTA(C6:C30))*100, 1), "-")</f>
        <v/>
      </c>
      <c r="H37" s="27" t="n"/>
      <c r="I37" s="27" t="n"/>
      <c r="J37" s="30">
        <f>IF(COUNTA(C6:C30)&gt;0, ROUND((J36/COUNTA(C6:C30))*100, 1), "-")</f>
        <v/>
      </c>
      <c r="K37" s="27" t="n"/>
      <c r="L37" s="27" t="n"/>
      <c r="M37" s="30">
        <f>IF(COUNTA(C6:C30)&gt;0, ROUND((M36/COUNTA(C6:C30))*100, 1), "-")</f>
        <v/>
      </c>
      <c r="N37" s="27" t="n"/>
      <c r="O37" s="27" t="n"/>
      <c r="P37" s="30">
        <f>IF(COUNTA(C6:C30)&gt;0, ROUND((P36/COUNTA(C6:C30))*100, 1), "-")</f>
        <v/>
      </c>
      <c r="Q37" s="27" t="n"/>
      <c r="R37" s="27" t="n"/>
      <c r="S37" s="30">
        <f>IF(COUNTA(C6:C30)&gt;0, ROUND((S36/COUNTA(C6:C30))*100, 1), "-")</f>
        <v/>
      </c>
      <c r="T37" s="27" t="n"/>
      <c r="U37" s="27" t="n"/>
      <c r="V37" s="30">
        <f>IF(COUNTA(C6:C30)&gt;0, ROUND((V36/COUNTA(C6:C30))*100, 1), "-")</f>
        <v/>
      </c>
      <c r="W37" s="27" t="n"/>
      <c r="X37" s="27" t="n"/>
      <c r="Y37" s="30">
        <f>IF(COUNTA(C6:C30)&gt;0, ROUND((Y36/COUNTA(C6:C30))*100, 1), "-")</f>
        <v/>
      </c>
      <c r="Z37" s="27" t="n"/>
      <c r="AA37" s="27" t="n"/>
      <c r="AB37" s="30">
        <f>IF(COUNTA(C6:C30)&gt;0, ROUND((AB36/COUNTA(C6:C30))*100, 1), "-")</f>
        <v/>
      </c>
      <c r="AC37" s="27" t="n"/>
      <c r="AD37" s="27" t="n"/>
      <c r="AE37" s="30">
        <f>IF(COUNTA(C6:C30)&gt;0, ROUND((AE36/COUNTA(C6:C30))*100, 1), "-")</f>
        <v/>
      </c>
      <c r="AF37" s="27" t="n"/>
      <c r="AG37" s="27" t="n"/>
      <c r="AH37" s="30">
        <f>IF(COUNTA(C6:C30)&gt;0, ROUND((AH36/COUNTA(C6:C30))*100, 1), "-")</f>
        <v/>
      </c>
      <c r="AI37" s="27" t="n"/>
      <c r="AJ37" s="27" t="n"/>
      <c r="AK37" s="30">
        <f>IF(COUNTA(C6:C30)&gt;0, ROUND((AK36/COUNTA(C6:C30))*100, 1), "-")</f>
        <v/>
      </c>
      <c r="AL37" s="27" t="n"/>
      <c r="AM37" s="27" t="n"/>
      <c r="AN37" s="30">
        <f>IF(COUNTA(C6:C30)&gt;0, ROUND((AN36/COUNTA(C6:C30))*100, 1), "-")</f>
        <v/>
      </c>
      <c r="AO37" s="27" t="n"/>
      <c r="AP37" s="27" t="n"/>
      <c r="AQ37" s="30">
        <f>IF(COUNTA(C6:C30)&gt;0, ROUND((AQ36/COUNTA(C6:C30))*100, 1), "-")</f>
        <v/>
      </c>
      <c r="AR37" s="27" t="n"/>
      <c r="AS37" s="27" t="n"/>
      <c r="AT37" s="30">
        <f>IF(COUNTA(C6:C30)&gt;0, ROUND((AT36/COUNTA(C6:C30))*100, 1), "-")</f>
        <v/>
      </c>
      <c r="AU37" s="27" t="n"/>
      <c r="AV37" s="27" t="n"/>
      <c r="AW37" s="30">
        <f>IF(COUNTA(C6:C30)&gt;0, ROUND((AW36/COUNTA(C6:C30))*100, 1), "-")</f>
        <v/>
      </c>
      <c r="AX37" s="27" t="n"/>
      <c r="AY37" s="27" t="n"/>
      <c r="AZ37" s="30">
        <f>IF(COUNTA(C6:C30)&gt;0, ROUND((AZ36/COUNTA(C6:C30))*100, 1), "-")</f>
        <v/>
      </c>
      <c r="BA37" s="27" t="n"/>
      <c r="BB37" s="27" t="n"/>
      <c r="BC37" s="30">
        <f>IF(COUNTA(C6:C30)&gt;0, ROUND((BC36/COUNTA(C6:C30))*100, 1), "-")</f>
        <v/>
      </c>
      <c r="BD37" s="27" t="n"/>
      <c r="BE37" s="27" t="n"/>
      <c r="BF37" s="30">
        <f>IF(COUNTA(C6:C30)&gt;0, ROUND((BF36/COUNTA(C6:C30))*100, 1), "-")</f>
        <v/>
      </c>
      <c r="BG37" s="27" t="n"/>
      <c r="BH37" s="27" t="n"/>
      <c r="BI37" s="30">
        <f>IF(COUNTA(C6:C30)&gt;0, ROUND((BI36/COUNTA(C6:C30))*100, 1), "-")</f>
        <v/>
      </c>
      <c r="BJ37" s="27" t="n"/>
      <c r="BK37" s="27" t="n"/>
      <c r="BL37" s="30">
        <f>IF(COUNTA(C6:C30)&gt;0, ROUND((BL36/COUNTA(C6:C30))*100, 1), "-")</f>
        <v/>
      </c>
      <c r="BM37" s="27" t="n"/>
      <c r="BN37" s="27" t="n"/>
      <c r="BO37" s="30">
        <f>IF(COUNTA(C6:C30)&gt;0, ROUND((BO36/COUNTA(C6:C30))*100, 1), "-")</f>
        <v/>
      </c>
      <c r="BP37" s="27" t="n"/>
      <c r="BQ37" s="27" t="n"/>
      <c r="BR37" s="30">
        <f>IF(COUNTA(C6:C30)&gt;0, ROUND((BR36/COUNTA(C6:C30))*100, 1), "-")</f>
        <v/>
      </c>
      <c r="BS37" s="27" t="n"/>
      <c r="BT37" s="27" t="n"/>
      <c r="BU37" s="30">
        <f>IF(COUNTA(C6:C30)&gt;0, ROUND((BU36/COUNTA(C6:C30))*100, 1), "-")</f>
        <v/>
      </c>
      <c r="BV37" s="27" t="n"/>
      <c r="BW37" s="27" t="n"/>
      <c r="BX37" s="30">
        <f>IF(COUNTA(C6:C30)&gt;0, ROUND((BX36/COUNTA(C6:C30))*100, 1), "-")</f>
        <v/>
      </c>
      <c r="BY37" s="27" t="n"/>
      <c r="BZ37" s="27" t="n"/>
      <c r="CA37" s="30">
        <f>IF(COUNTA(C6:C30)&gt;0, ROUND((CA36/COUNTA(C6:C30))*100, 1), "-")</f>
        <v/>
      </c>
      <c r="CB37" s="27" t="n"/>
      <c r="CC37" s="27" t="n"/>
      <c r="CD37" s="30">
        <f>IF(COUNTA(C6:C30)&gt;0, ROUND((CD36/COUNTA(C6:C30))*100, 1), "-")</f>
        <v/>
      </c>
      <c r="CE37" s="27" t="n"/>
      <c r="CF37" s="27" t="n"/>
      <c r="CG37" s="30">
        <f>IF(COUNTA(C6:C30)&gt;0, ROUND((CG36/COUNTA(C6:C30))*100, 1), "-")</f>
        <v/>
      </c>
      <c r="CH37" s="27" t="n"/>
      <c r="CI37" s="27" t="n"/>
      <c r="CJ37" s="30">
        <f>IF(COUNTA(C6:C30)&gt;0, ROUND((CJ36/COUNTA(C6:C30))*100, 1), "-")</f>
        <v/>
      </c>
      <c r="CK37" s="27" t="n"/>
      <c r="CL37" s="27" t="n"/>
      <c r="CM37" s="30">
        <f>IF(COUNTA(C6:C30)&gt;0, ROUND((CM36/COUNTA(C6:C30))*100, 1), "-")</f>
        <v/>
      </c>
      <c r="CN37" s="27" t="n"/>
      <c r="CO37" s="27" t="n"/>
      <c r="CP37" s="33">
        <f>IF(COUNTA(C6:C30)&gt;0, ROUND((CP36/COUNTA(C6:C30))*100, 1), "-")</f>
        <v/>
      </c>
      <c r="CQ37" s="31" t="n"/>
      <c r="CR37" s="27" t="n"/>
      <c r="CS37" s="27" t="n"/>
      <c r="CT37" s="27" t="n"/>
    </row>
  </sheetData>
  <mergeCells count="195">
    <mergeCell ref="BF37:BH37"/>
    <mergeCell ref="AT33:AV33"/>
    <mergeCell ref="A37:C37"/>
    <mergeCell ref="A2:CT2"/>
    <mergeCell ref="BF33:BH33"/>
    <mergeCell ref="P36:R36"/>
    <mergeCell ref="S37:U37"/>
    <mergeCell ref="BC37:BE37"/>
    <mergeCell ref="BR36:BT36"/>
    <mergeCell ref="J35:L35"/>
    <mergeCell ref="AB36:AD36"/>
    <mergeCell ref="AT35:AV35"/>
    <mergeCell ref="AH34:AJ34"/>
    <mergeCell ref="BI37:BK37"/>
    <mergeCell ref="AT34:AV34"/>
    <mergeCell ref="V36:X36"/>
    <mergeCell ref="CM36:CO36"/>
    <mergeCell ref="AZ35:BB35"/>
    <mergeCell ref="D37:F37"/>
    <mergeCell ref="BU37:BW37"/>
    <mergeCell ref="AH36:AJ36"/>
    <mergeCell ref="P37:R37"/>
    <mergeCell ref="BL35:BN35"/>
    <mergeCell ref="AT36:AV36"/>
    <mergeCell ref="CA37:CC37"/>
    <mergeCell ref="AB37:AD37"/>
    <mergeCell ref="AK37:AM37"/>
    <mergeCell ref="V37:X37"/>
    <mergeCell ref="CM37:CO37"/>
    <mergeCell ref="AK36:AM36"/>
    <mergeCell ref="AN37:AP37"/>
    <mergeCell ref="BX37:BZ37"/>
    <mergeCell ref="A34:C34"/>
    <mergeCell ref="P4:R4"/>
    <mergeCell ref="G36:I36"/>
    <mergeCell ref="BC36:BE36"/>
    <mergeCell ref="V4:X4"/>
    <mergeCell ref="BX4:BZ4"/>
    <mergeCell ref="AH4:AJ4"/>
    <mergeCell ref="AT37:AV37"/>
    <mergeCell ref="CJ4:CL4"/>
    <mergeCell ref="C4:C5"/>
    <mergeCell ref="BI34:BK34"/>
    <mergeCell ref="G37:I37"/>
    <mergeCell ref="BR37:BT37"/>
    <mergeCell ref="M37:O37"/>
    <mergeCell ref="CD37:CF37"/>
    <mergeCell ref="Y37:AA37"/>
    <mergeCell ref="G4:I4"/>
    <mergeCell ref="AQ4:AS4"/>
    <mergeCell ref="BI4:BK4"/>
    <mergeCell ref="BC4:BE4"/>
    <mergeCell ref="BF34:BH34"/>
    <mergeCell ref="AE37:AG37"/>
    <mergeCell ref="BU4:BW4"/>
    <mergeCell ref="BR34:BT34"/>
    <mergeCell ref="J33:L33"/>
    <mergeCell ref="AB34:AD34"/>
    <mergeCell ref="CD34:CF34"/>
    <mergeCell ref="M4:O4"/>
    <mergeCell ref="BX33:BZ33"/>
    <mergeCell ref="Y4:AA4"/>
    <mergeCell ref="A1:CT1"/>
    <mergeCell ref="CA4:CC4"/>
    <mergeCell ref="CD36:CF36"/>
    <mergeCell ref="AZ34:BB34"/>
    <mergeCell ref="CM4:CO4"/>
    <mergeCell ref="J37:L37"/>
    <mergeCell ref="AB4:AD4"/>
    <mergeCell ref="AZ36:BB36"/>
    <mergeCell ref="M35:O35"/>
    <mergeCell ref="CD35:CF35"/>
    <mergeCell ref="AN4:AP4"/>
    <mergeCell ref="Y35:AA35"/>
    <mergeCell ref="AE33:AG33"/>
    <mergeCell ref="AW34:AY34"/>
    <mergeCell ref="CG33:CI33"/>
    <mergeCell ref="AQ33:AS33"/>
    <mergeCell ref="CJ35:CL35"/>
    <mergeCell ref="J4:L4"/>
    <mergeCell ref="G34:I34"/>
    <mergeCell ref="AT4:AV4"/>
    <mergeCell ref="BL4:BN4"/>
    <mergeCell ref="S34:U34"/>
    <mergeCell ref="BF4:BH4"/>
    <mergeCell ref="AK34:AM34"/>
    <mergeCell ref="BU34:BW34"/>
    <mergeCell ref="M33:O33"/>
    <mergeCell ref="BO33:BQ33"/>
    <mergeCell ref="CG34:CI34"/>
    <mergeCell ref="BI36:BK36"/>
    <mergeCell ref="CT4:CT5"/>
    <mergeCell ref="S36:U36"/>
    <mergeCell ref="BR4:BT4"/>
    <mergeCell ref="BU36:BW36"/>
    <mergeCell ref="D33:F33"/>
    <mergeCell ref="CD4:CF4"/>
    <mergeCell ref="CQ4:CQ5"/>
    <mergeCell ref="CS4:CS5"/>
    <mergeCell ref="BC34:BE34"/>
    <mergeCell ref="P33:R33"/>
    <mergeCell ref="CM34:CO34"/>
    <mergeCell ref="A4:A5"/>
    <mergeCell ref="S4:U4"/>
    <mergeCell ref="AB33:AD33"/>
    <mergeCell ref="D35:F35"/>
    <mergeCell ref="BL33:BN33"/>
    <mergeCell ref="BU35:BW35"/>
    <mergeCell ref="CD33:CF33"/>
    <mergeCell ref="AE4:AG4"/>
    <mergeCell ref="BO35:BQ35"/>
    <mergeCell ref="P35:R35"/>
    <mergeCell ref="BO4:BQ4"/>
    <mergeCell ref="CG4:CI4"/>
    <mergeCell ref="D34:F34"/>
    <mergeCell ref="V33:X33"/>
    <mergeCell ref="AN34:AP34"/>
    <mergeCell ref="CM33:CO33"/>
    <mergeCell ref="BR35:BT35"/>
    <mergeCell ref="B4:B5"/>
    <mergeCell ref="AH33:AJ33"/>
    <mergeCell ref="AZ33:BB33"/>
    <mergeCell ref="CJ33:CL33"/>
    <mergeCell ref="AK4:AM4"/>
    <mergeCell ref="D36:F36"/>
    <mergeCell ref="V35:X35"/>
    <mergeCell ref="AN36:AP36"/>
    <mergeCell ref="CM35:CO35"/>
    <mergeCell ref="AQ37:AS37"/>
    <mergeCell ref="J34:L34"/>
    <mergeCell ref="BF36:BH36"/>
    <mergeCell ref="BX35:BZ35"/>
    <mergeCell ref="AW4:AY4"/>
    <mergeCell ref="AH35:AJ35"/>
    <mergeCell ref="BL34:BN34"/>
    <mergeCell ref="V34:X34"/>
    <mergeCell ref="BX34:BZ34"/>
    <mergeCell ref="AK33:AM33"/>
    <mergeCell ref="J36:L36"/>
    <mergeCell ref="CA36:CC36"/>
    <mergeCell ref="CJ34:CL34"/>
    <mergeCell ref="AW33:AY33"/>
    <mergeCell ref="BL36:BN36"/>
    <mergeCell ref="AZ4:BB4"/>
    <mergeCell ref="BX36:BZ36"/>
    <mergeCell ref="AK35:AM35"/>
    <mergeCell ref="G33:I33"/>
    <mergeCell ref="Y34:AA34"/>
    <mergeCell ref="A33:C33"/>
    <mergeCell ref="BI33:BK33"/>
    <mergeCell ref="BR33:BT33"/>
    <mergeCell ref="S33:U33"/>
    <mergeCell ref="AW35:AY35"/>
    <mergeCell ref="BO37:BQ37"/>
    <mergeCell ref="BC33:BE33"/>
    <mergeCell ref="M36:O36"/>
    <mergeCell ref="D4:F4"/>
    <mergeCell ref="BU33:BW33"/>
    <mergeCell ref="G35:I35"/>
    <mergeCell ref="Y36:AA36"/>
    <mergeCell ref="AQ35:AS35"/>
    <mergeCell ref="BL37:BN37"/>
    <mergeCell ref="A35:C35"/>
    <mergeCell ref="AE34:AG34"/>
    <mergeCell ref="BI35:BK35"/>
    <mergeCell ref="S35:U35"/>
    <mergeCell ref="BC35:BE35"/>
    <mergeCell ref="Y33:AA33"/>
    <mergeCell ref="AQ34:AS34"/>
    <mergeCell ref="CJ36:CL36"/>
    <mergeCell ref="CA33:CC33"/>
    <mergeCell ref="AE36:AG36"/>
    <mergeCell ref="AH37:AJ37"/>
    <mergeCell ref="AW36:AY36"/>
    <mergeCell ref="CG36:CI36"/>
    <mergeCell ref="AQ36:AS36"/>
    <mergeCell ref="M34:O34"/>
    <mergeCell ref="BF35:BH35"/>
    <mergeCell ref="BO34:BQ34"/>
    <mergeCell ref="A36:C36"/>
    <mergeCell ref="AE35:AG35"/>
    <mergeCell ref="CA34:CC34"/>
    <mergeCell ref="AN33:AP33"/>
    <mergeCell ref="AZ37:BB37"/>
    <mergeCell ref="CG37:CI37"/>
    <mergeCell ref="CJ37:CL37"/>
    <mergeCell ref="CG35:CI35"/>
    <mergeCell ref="CP4:CP5"/>
    <mergeCell ref="CR4:CR5"/>
    <mergeCell ref="AB35:AD35"/>
    <mergeCell ref="CA35:CC35"/>
    <mergeCell ref="BO36:BQ36"/>
    <mergeCell ref="AW37:AY37"/>
    <mergeCell ref="P34:R34"/>
    <mergeCell ref="AN35:AP35"/>
  </mergeCells>
  <conditionalFormatting sqref="CR6:CR30">
    <cfRule type="cellIs" priority="1" operator="equal" dxfId="0">
      <formula>"PASS"</formula>
    </cfRule>
    <cfRule type="cellIs" priority="2" operator="equal" dxfId="1">
      <formula>"FAIL"</formula>
    </cfRule>
  </conditionalFormatting>
  <conditionalFormatting sqref="CS6:CS30">
    <cfRule type="cellIs" priority="3" operator="equal" dxfId="2">
      <formula>"A+"</formula>
    </cfRule>
  </conditionalFormatting>
  <dataValidations count="2">
    <dataValidation sqref="D6 D7 D8 D9 D10 D11 D12 D13 D14 D15 D16 D17 D18 D19 D20 D21 D22 D23 D24 D25 D26 D27 D28 D29 D30 G6 G7 G8 G9 G10 G11 G12 G13 G14 G15 G16 G17 G18 G19 G20 G21 G22 G23 G24 G25 G26 G27 G28 G29 G30 J6 J7 J8 J9 J10 J11 J12 J13 J14 J15 J16 J17 J18 J19 J20 J21 J22 J23 J24 J25 J26 J27 J28 J29 J30 M6 M7 M8 M9 M10 M11 M12 M13 M14 M15 M16 M17 M18 M19 M20 M21 M22 M23 M24 M25 M26 M27 M28 M29 M30 P6 P7 P8 P9 P10 P11 P12 P13 P14 P15 P16 P17 P18 P19 P20 P21 P22 P23 P24 P25 P26 P27 P28 P29 P30 S6 S7 S8 S9 S10 S11 S12 S13 S14 S15 S16 S17 S18 S19 S20 S21 S22 S23 S24 S25 S26 S27 S28 S29 S30 V6 V7 V8 V9 V10 V11 V12 V13 V14 V15 V16 V17 V18 V19 V20 V21 V22 V23 V24 V25 V26 V27 V28 V29 V30 Y6 Y7 Y8 Y9 Y10 Y11 Y12 Y13 Y14 Y15 Y16 Y17 Y18 Y19 Y20 Y21 Y22 Y23 Y24 Y25 Y26 Y27 Y28 Y29 Y30 AB6 AB7 AB8 AB9 AB10 AB11 AB12 AB13 AB14 AB15 AB16 AB17 AB18 AB19 AB20 AB21 AB22 AB23 AB24 AB25 AB26 AB27 AB28 AB29 AB30 AE6 AE7 AE8 AE9 AE10 AE11 AE12 AE13 AE14 AE15 AE16 AE17 AE18 AE19 AE20 AE21 AE22 AE23 AE24 AE25 AE26 AE27 AE28 AE29 AE30 AH6 AH7 AH8 AH9 AH10 AH11 AH12 AH13 AH14 AH15 AH16 AH17 AH18 AH19 AH20 AH21 AH22 AH23 AH24 AH25 AH26 AH27 AH28 AH29 AH30 AK6 AK7 AK8 AK9 AK10 AK11 AK12 AK13 AK14 AK15 AK16 AK17 AK18 AK19 AK20 AK21 AK22 AK23 AK24 AK25 AK26 AK27 AK28 AK29 AK30 AN6 AN7 AN8 AN9 AN10 AN11 AN12 AN13 AN14 AN15 AN16 AN17 AN18 AN19 AN20 AN21 AN22 AN23 AN24 AN25 AN26 AN27 AN28 AN29 AN30 AQ6 AQ7 AQ8 AQ9 AQ10 AQ11 AQ12 AQ13 AQ14 AQ15 AQ16 AQ17 AQ18 AQ19 AQ20 AQ21 AQ22 AQ23 AQ24 AQ25 AQ26 AQ27 AQ28 AQ29 AQ30 AT6 AT7 AT8 AT9 AT10 AT11 AT12 AT13 AT14 AT15 AT16 AT17 AT18 AT19 AT20 AT21 AT22 AT23 AT24 AT25 AT26 AT27 AT28 AT29 AT30 AW6 AW7 AW8 AW9 AW10 AW11 AW12 AW13 AW14 AW15 AW16 AW17 AW18 AW19 AW20 AW21 AW22 AW23 AW24 AW25 AW26 AW27 AW28 AW29 AW30 AZ6 AZ7 AZ8 AZ9 AZ10 AZ11 AZ12 AZ13 AZ14 AZ15 AZ16 AZ17 AZ18 AZ19 AZ20 AZ21 AZ22 AZ23 AZ24 AZ25 AZ26 AZ27 AZ28 AZ29 AZ30 BC6 BC7 BC8 BC9 BC10 BC11 BC12 BC13 BC14 BC15 BC16 BC17 BC18 BC19 BC20 BC21 BC22 BC23 BC24 BC25 BC26 BC27 BC28 BC29 BC30 BF6 BF7 BF8 BF9 BF10 BF11 BF12 BF13 BF14 BF15 BF16 BF17 BF18 BF19 BF20 BF21 BF22 BF23 BF24 BF25 BF26 BF27 BF28 BF29 BF30 BI6 BI7 BI8 BI9 BI10 BI11 BI12 BI13 BI14 BI15 BI16 BI17 BI18 BI19 BI20 BI21 BI22 BI23 BI24 BI25 BI26 BI27 BI28 BI29 BI30 BL6 BL7 BL8 BL9 BL10 BL11 BL12 BL13 BL14 BL15 BL16 BL17 BL18 BL19 BL20 BL21 BL22 BL23 BL24 BL25 BL26 BL27 BL28 BL29 BL30 BO6 BO7 BO8 BO9 BO10 BO11 BO12 BO13 BO14 BO15 BO16 BO17 BO18 BO19 BO20 BO21 BO22 BO23 BO24 BO25 BO26 BO27 BO28 BO29 BO30 BR6 BR7 BR8 BR9 BR10 BR11 BR12 BR13 BR14 BR15 BR16 BR17 BR18 BR19 BR20 BR21 BR22 BR23 BR24 BR25 BR26 BR27 BR28 BR29 BR30 BU6 BU7 BU8 BU9 BU10 BU11 BU12 BU13 BU14 BU15 BU16 BU17 BU18 BU19 BU20 BU21 BU22 BU23 BU24 BU25 BU26 BU27 BU28 BU29 BU30 BX6 BX7 BX8 BX9 BX10 BX11 BX12 BX13 BX14 BX15 BX16 BX17 BX18 BX19 BX20 BX21 BX22 BX23 BX24 BX25 BX26 BX27 BX28 BX29 BX30 CA6 CA7 CA8 CA9 CA10 CA11 CA12 CA13 CA14 CA15 CA16 CA17 CA18 CA19 CA20 CA21 CA22 CA23 CA24 CA25 CA26 CA27 CA28 CA29 CA30 CD6 CD7 CD8 CD9 CD10 CD11 CD12 CD13 CD14 CD15 CD16 CD17 CD18 CD19 CD20 CD21 CD22 CD23 CD24 CD25 CD26 CD27 CD28 CD29 CD30 CG6 CG7 CG8 CG9 CG10 CG11 CG12 CG13 CG14 CG15 CG16 CG17 CG18 CG19 CG20 CG21 CG22 CG23 CG24 CG25 CG26 CG27 CG28 CG29 CG30 CJ6 CJ7 CJ8 CJ9 CJ10 CJ11 CJ12 CJ13 CJ14 CJ15 CJ16 CJ17 CJ18 CJ19 CJ20 CJ21 CJ22 CJ23 CJ24 CJ25 CJ26 CJ27 CJ28 CJ29 CJ30 CM6 CM7 CM8 CM9 CM10 CM11 CM12 CM13 CM14 CM15 CM16 CM17 CM18 CM19 CM20 CM21 CM22 CM23 CM24 CM25 CM26 CM27 CM28 CM29 CM30" showDropDown="0" showInputMessage="0" showErrorMessage="0" allowBlank="1" type="whole" operator="between">
      <formula1>0</formula1>
      <formula2>80</formula2>
    </dataValidation>
    <dataValidation sqref="E6 E7 E8 E9 E10 E11 E12 E13 E14 E15 E16 E17 E18 E19 E20 E21 E22 E23 E24 E25 E26 E27 E28 E29 E30 H6 H7 H8 H9 H10 H11 H12 H13 H14 H15 H16 H17 H18 H19 H20 H21 H22 H23 H24 H25 H26 H27 H28 H29 H30 K6 K7 K8 K9 K10 K11 K12 K13 K14 K15 K16 K17 K18 K19 K20 K21 K22 K23 K24 K25 K26 K27 K28 K29 K30 N6 N7 N8 N9 N10 N11 N12 N13 N14 N15 N16 N17 N18 N19 N20 N21 N22 N23 N24 N25 N26 N27 N28 N29 N30 Q6 Q7 Q8 Q9 Q10 Q11 Q12 Q13 Q14 Q15 Q16 Q17 Q18 Q19 Q20 Q21 Q22 Q23 Q24 Q25 Q26 Q27 Q28 Q29 Q30 T6 T7 T8 T9 T10 T11 T12 T13 T14 T15 T16 T17 T18 T19 T20 T21 T22 T23 T24 T25 T26 T27 T28 T29 T30 W6 W7 W8 W9 W10 W11 W12 W13 W14 W15 W16 W17 W18 W19 W20 W21 W22 W23 W24 W25 W26 W27 W28 W29 W30 Z6 Z7 Z8 Z9 Z10 Z11 Z12 Z13 Z14 Z15 Z16 Z17 Z18 Z19 Z20 Z21 Z22 Z23 Z24 Z25 Z26 Z27 Z28 Z29 Z30 AC6 AC7 AC8 AC9 AC10 AC11 AC12 AC13 AC14 AC15 AC16 AC17 AC18 AC19 AC20 AC21 AC22 AC23 AC24 AC25 AC26 AC27 AC28 AC29 AC30 AF6 AF7 AF8 AF9 AF10 AF11 AF12 AF13 AF14 AF15 AF16 AF17 AF18 AF19 AF20 AF21 AF22 AF23 AF24 AF25 AF26 AF27 AF28 AF29 AF30 AI6 AI7 AI8 AI9 AI10 AI11 AI12 AI13 AI14 AI15 AI16 AI17 AI18 AI19 AI20 AI21 AI22 AI23 AI24 AI25 AI26 AI27 AI28 AI29 AI30 AL6 AL7 AL8 AL9 AL10 AL11 AL12 AL13 AL14 AL15 AL16 AL17 AL18 AL19 AL20 AL21 AL22 AL23 AL24 AL25 AL26 AL27 AL28 AL29 AL30 AO6 AO7 AO8 AO9 AO10 AO11 AO12 AO13 AO14 AO15 AO16 AO17 AO18 AO19 AO20 AO21 AO22 AO23 AO24 AO25 AO26 AO27 AO28 AO29 AO30 AR6 AR7 AR8 AR9 AR10 AR11 AR12 AR13 AR14 AR15 AR16 AR17 AR18 AR19 AR20 AR21 AR22 AR23 AR24 AR25 AR26 AR27 AR28 AR29 AR30 AU6 AU7 AU8 AU9 AU10 AU11 AU12 AU13 AU14 AU15 AU16 AU17 AU18 AU19 AU20 AU21 AU22 AU23 AU24 AU25 AU26 AU27 AU28 AU29 AU30 AX6 AX7 AX8 AX9 AX10 AX11 AX12 AX13 AX14 AX15 AX16 AX17 AX18 AX19 AX20 AX21 AX22 AX23 AX24 AX25 AX26 AX27 AX28 AX29 AX30 BA6 BA7 BA8 BA9 BA10 BA11 BA12 BA13 BA14 BA15 BA16 BA17 BA18 BA19 BA20 BA21 BA22 BA23 BA24 BA25 BA26 BA27 BA28 BA29 BA30 BD6 BD7 BD8 BD9 BD10 BD11 BD12 BD13 BD14 BD15 BD16 BD17 BD18 BD19 BD20 BD21 BD22 BD23 BD24 BD25 BD26 BD27 BD28 BD29 BD30 BG6 BG7 BG8 BG9 BG10 BG11 BG12 BG13 BG14 BG15 BG16 BG17 BG18 BG19 BG20 BG21 BG22 BG23 BG24 BG25 BG26 BG27 BG28 BG29 BG30 BJ6 BJ7 BJ8 BJ9 BJ10 BJ11 BJ12 BJ13 BJ14 BJ15 BJ16 BJ17 BJ18 BJ19 BJ20 BJ21 BJ22 BJ23 BJ24 BJ25 BJ26 BJ27 BJ28 BJ29 BJ30 BM6 BM7 BM8 BM9 BM10 BM11 BM12 BM13 BM14 BM15 BM16 BM17 BM18 BM19 BM20 BM21 BM22 BM23 BM24 BM25 BM26 BM27 BM28 BM29 BM30 BP6 BP7 BP8 BP9 BP10 BP11 BP12 BP13 BP14 BP15 BP16 BP17 BP18 BP19 BP20 BP21 BP22 BP23 BP24 BP25 BP26 BP27 BP28 BP29 BP30 BS6 BS7 BS8 BS9 BS10 BS11 BS12 BS13 BS14 BS15 BS16 BS17 BS18 BS19 BS20 BS21 BS22 BS23 BS24 BS25 BS26 BS27 BS28 BS29 BS30 BV6 BV7 BV8 BV9 BV10 BV11 BV12 BV13 BV14 BV15 BV16 BV17 BV18 BV19 BV20 BV21 BV22 BV23 BV24 BV25 BV26 BV27 BV28 BV29 BV30 BY6 BY7 BY8 BY9 BY10 BY11 BY12 BY13 BY14 BY15 BY16 BY17 BY18 BY19 BY20 BY21 BY22 BY23 BY24 BY25 BY26 BY27 BY28 BY29 BY30 CB6 CB7 CB8 CB9 CB10 CB11 CB12 CB13 CB14 CB15 CB16 CB17 CB18 CB19 CB20 CB21 CB22 CB23 CB24 CB25 CB26 CB27 CB28 CB29 CB30 CE6 CE7 CE8 CE9 CE10 CE11 CE12 CE13 CE14 CE15 CE16 CE17 CE18 CE19 CE20 CE21 CE22 CE23 CE24 CE25 CE26 CE27 CE28 CE29 CE30 CH6 CH7 CH8 CH9 CH10 CH11 CH12 CH13 CH14 CH15 CH16 CH17 CH18 CH19 CH20 CH21 CH22 CH23 CH24 CH25 CH26 CH27 CH28 CH29 CH30 CK6 CK7 CK8 CK9 CK10 CK11 CK12 CK13 CK14 CK15 CK16 CK17 CK18 CK19 CK20 CK21 CK22 CK23 CK24 CK25 CK26 CK27 CK28 CK29 CK30 CN6 CN7 CN8 CN9 CN10 CN11 CN12 CN13 CN14 CN15 CN16 CN17 CN18 CN19 CN20 CN21 CN22 CN23 CN24 CN25 CN26 CN27 CN28 CN29 CN30" showDropDown="0" showInputMessage="0" showErrorMessage="0" allowBlank="1" type="whole" operator="between">
      <formula1>0</formula1>
      <formula2>20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2026-10-14T07:09:42Z</dcterms:created>
  <dcterms:modified xmlns:dcterms="http://purl.org/dc/terms/" xmlns:xsi="http://www.w3.org/2001/XMLSchema-instance" xsi:type="dcterms:W3CDTF">2026-10-14T07:09:49Z</dcterms:modified>
</cp:coreProperties>
</file>