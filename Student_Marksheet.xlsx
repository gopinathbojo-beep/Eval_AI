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rade 10" sheetId="2" state="visible" r:id="rId2"/>
    <sheet xmlns:r="http://schemas.openxmlformats.org/officeDocument/2006/relationships" name="Grade 11" sheetId="3" state="visible" r:id="rId3"/>
    <sheet xmlns:r="http://schemas.openxmlformats.org/officeDocument/2006/relationships" name="Grade 11_2" sheetId="4" state="visible" r:id="rId4"/>
    <sheet xmlns:r="http://schemas.openxmlformats.org/officeDocument/2006/relationships" name="Grade 12" sheetId="5" state="visible" r:id="rId5"/>
    <sheet xmlns:r="http://schemas.openxmlformats.org/officeDocument/2006/relationships" name="Grade 9" sheetId="6" state="visible" r:id="rId6"/>
    <sheet xmlns:r="http://schemas.openxmlformats.org/officeDocument/2006/relationships" name="Grade 9_2" sheetId="7" state="visible" r:id="rId7"/>
    <sheet xmlns:r="http://schemas.openxmlformats.org/officeDocument/2006/relationships" name="Blank Templ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0"/>
    </font>
    <font>
      <name val="Calibri"/>
      <b val="1"/>
      <color rgb="001F2937"/>
      <sz val="9"/>
    </font>
    <font>
      <name val="Calibri"/>
      <b val="1"/>
      <color rgb="001E3A8A"/>
      <sz val="9"/>
    </font>
    <font>
      <name val="Calibri"/>
      <b val="1"/>
      <sz val="10"/>
    </font>
    <font>
      <name val="Calibri"/>
      <b val="1"/>
      <color rgb="001E3A8A"/>
      <sz val="10"/>
    </font>
    <font>
      <name val="Calibri"/>
      <b val="1"/>
      <sz val="9"/>
    </font>
    <font>
      <name val="Calibri"/>
      <b val="1"/>
      <color rgb="001E3A8A"/>
      <sz val="11"/>
    </font>
    <font>
      <name val="Calibri"/>
      <b val="1"/>
      <color rgb="00166534"/>
      <sz val="10"/>
    </font>
    <font>
      <name val="Calibri"/>
      <b val="1"/>
      <color rgb="00991B1B"/>
      <sz val="10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F3F4F6"/>
      </patternFill>
    </fill>
    <fill>
      <patternFill patternType="solid">
        <fgColor rgb="00DBEAFE"/>
      </patternFill>
    </fill>
    <fill>
      <patternFill patternType="solid">
        <fgColor rgb="00F8FAFC"/>
      </patternFill>
    </fill>
    <fill>
      <patternFill patternType="solid">
        <fgColor rgb="00E0F2FE"/>
      </patternFill>
    </fill>
    <fill>
      <patternFill patternType="solid">
        <fgColor rgb="000F766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3A8A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8" fillId="0" borderId="0" pivotButton="0" quotePrefix="0" xfId="0"/>
    <xf numFmtId="0" fontId="2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3" fillId="7" borderId="2" applyAlignment="1" pivotButton="0" quotePrefix="0" xfId="0">
      <alignment horizontal="right" vertical="center"/>
    </xf>
    <xf numFmtId="0" fontId="0" fillId="0" borderId="2" pivotButton="0" quotePrefix="0" xfId="0"/>
    <xf numFmtId="165" fontId="7" fillId="7" borderId="2" applyAlignment="1" pivotButton="0" quotePrefix="0" xfId="0">
      <alignment horizontal="center" vertical="center"/>
    </xf>
    <xf numFmtId="165" fontId="4" fillId="7" borderId="2" applyAlignment="1" pivotButton="0" quotePrefix="0" xfId="0">
      <alignment horizontal="center" vertical="center"/>
    </xf>
    <xf numFmtId="164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164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b val="1"/>
        <color rgb="00166534"/>
      </font>
      <fill>
        <patternFill patternType="solid">
          <fgColor rgb="00DCFCE7"/>
        </patternFill>
      </fill>
    </dxf>
    <dxf>
      <font>
        <b val="1"/>
        <color rgb="00991B1B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6" customWidth="1" min="3" max="3"/>
    <col width="13" customWidth="1" min="4" max="4"/>
    <col width="13" customWidth="1" min="5" max="5"/>
    <col width="18" customWidth="1" min="6" max="6"/>
    <col width="20" customWidth="1" min="7" max="7"/>
  </cols>
  <sheetData>
    <row r="1" ht="36" customHeight="1">
      <c r="A1" s="1" t="inlineStr">
        <is>
          <t>EVAL AI (ADEM) — INSTITUTION MARK SHEET OVERVIEW</t>
        </is>
      </c>
    </row>
    <row r="2" ht="22" customHeight="1">
      <c r="A2" s="2" t="inlineStr">
        <is>
          <t>Academic Year: 2025–2026  |  Total Classes: 6  |  Total Subjects: 6  |  Auto-Consolidated Dashboard</t>
        </is>
      </c>
    </row>
    <row r="4">
      <c r="A4" s="3" t="inlineStr">
        <is>
          <t>CLASS-WISE CONSOLIDATED PERFORMANCE SUMMARY</t>
        </is>
      </c>
    </row>
    <row r="5" ht="24" customHeight="1">
      <c r="A5" s="4" t="inlineStr">
        <is>
          <t>S.No</t>
        </is>
      </c>
      <c r="B5" s="4" t="inlineStr">
        <is>
          <t>Class / Section</t>
        </is>
      </c>
      <c r="C5" s="4" t="inlineStr">
        <is>
          <t>Total Enrolled</t>
        </is>
      </c>
      <c r="D5" s="4" t="inlineStr">
        <is>
          <t>Passed</t>
        </is>
      </c>
      <c r="E5" s="4" t="inlineStr">
        <is>
          <t>Failed</t>
        </is>
      </c>
      <c r="F5" s="4" t="inlineStr">
        <is>
          <t>Pass Percentage</t>
        </is>
      </c>
      <c r="G5" s="4" t="inlineStr">
        <is>
          <t>Class Average (%)</t>
        </is>
      </c>
    </row>
    <row r="6">
      <c r="A6" s="5" t="n">
        <v>1</v>
      </c>
      <c r="B6" s="6" t="inlineStr">
        <is>
          <t>Grade 10</t>
        </is>
      </c>
      <c r="C6" s="7">
        <f>COUNTA('Grade 10'!C6:C20)</f>
        <v/>
      </c>
      <c r="D6" s="8">
        <f>COUNTIF('Grade 10'!X6:X20, "PASS")</f>
        <v/>
      </c>
      <c r="E6" s="9">
        <f>COUNTIF('Grade 10'!X6:X20, "FAIL")</f>
        <v/>
      </c>
      <c r="F6" s="10">
        <f>IF(C6&gt;0, ROUND((D6/C6)*100, 1), 0)</f>
        <v/>
      </c>
      <c r="G6" s="11">
        <f>IF(C6&gt;0, ROUND(AVERAGE('Grade 10'!W6:W20), 1), 0)</f>
        <v/>
      </c>
    </row>
    <row r="7">
      <c r="A7" s="12" t="n">
        <v>2</v>
      </c>
      <c r="B7" s="13" t="inlineStr">
        <is>
          <t>Grade 11</t>
        </is>
      </c>
      <c r="C7" s="14">
        <f>COUNTA('Grade 11'!C6:C20)</f>
        <v/>
      </c>
      <c r="D7" s="15">
        <f>COUNTIF('Grade 11'!X6:X20, "PASS")</f>
        <v/>
      </c>
      <c r="E7" s="16">
        <f>COUNTIF('Grade 11'!X6:X20, "FAIL")</f>
        <v/>
      </c>
      <c r="F7" s="17">
        <f>IF(C7&gt;0, ROUND((D7/C7)*100, 1), 0)</f>
        <v/>
      </c>
      <c r="G7" s="18">
        <f>IF(C7&gt;0, ROUND(AVERAGE('Grade 11'!W6:W20), 1), 0)</f>
        <v/>
      </c>
    </row>
    <row r="8">
      <c r="A8" s="5" t="n">
        <v>3</v>
      </c>
      <c r="B8" s="6" t="inlineStr">
        <is>
          <t>Grade 11</t>
        </is>
      </c>
      <c r="C8" s="7">
        <f>COUNTA('Grade 11_2'!C6:C20)</f>
        <v/>
      </c>
      <c r="D8" s="8">
        <f>COUNTIF('Grade 11_2'!X6:X20, "PASS")</f>
        <v/>
      </c>
      <c r="E8" s="9">
        <f>COUNTIF('Grade 11_2'!X6:X20, "FAIL")</f>
        <v/>
      </c>
      <c r="F8" s="10">
        <f>IF(C8&gt;0, ROUND((D8/C8)*100, 1), 0)</f>
        <v/>
      </c>
      <c r="G8" s="11">
        <f>IF(C8&gt;0, ROUND(AVERAGE('Grade 11_2'!W6:W20), 1), 0)</f>
        <v/>
      </c>
    </row>
    <row r="9">
      <c r="A9" s="12" t="n">
        <v>4</v>
      </c>
      <c r="B9" s="13" t="inlineStr">
        <is>
          <t>Grade 12</t>
        </is>
      </c>
      <c r="C9" s="14">
        <f>COUNTA('Grade 12'!C6:C20)</f>
        <v/>
      </c>
      <c r="D9" s="15">
        <f>COUNTIF('Grade 12'!X6:X20, "PASS")</f>
        <v/>
      </c>
      <c r="E9" s="16">
        <f>COUNTIF('Grade 12'!X6:X20, "FAIL")</f>
        <v/>
      </c>
      <c r="F9" s="17">
        <f>IF(C9&gt;0, ROUND((D9/C9)*100, 1), 0)</f>
        <v/>
      </c>
      <c r="G9" s="18">
        <f>IF(C9&gt;0, ROUND(AVERAGE('Grade 12'!W6:W20), 1), 0)</f>
        <v/>
      </c>
    </row>
    <row r="10">
      <c r="A10" s="5" t="n">
        <v>5</v>
      </c>
      <c r="B10" s="6" t="inlineStr">
        <is>
          <t>Grade 9</t>
        </is>
      </c>
      <c r="C10" s="7">
        <f>COUNTA('Grade 9'!C6:C20)</f>
        <v/>
      </c>
      <c r="D10" s="8">
        <f>COUNTIF('Grade 9'!X6:X20, "PASS")</f>
        <v/>
      </c>
      <c r="E10" s="9">
        <f>COUNTIF('Grade 9'!X6:X20, "FAIL")</f>
        <v/>
      </c>
      <c r="F10" s="10">
        <f>IF(C10&gt;0, ROUND((D10/C10)*100, 1), 0)</f>
        <v/>
      </c>
      <c r="G10" s="11">
        <f>IF(C10&gt;0, ROUND(AVERAGE('Grade 9'!W6:W20), 1), 0)</f>
        <v/>
      </c>
    </row>
    <row r="11">
      <c r="A11" s="12" t="n">
        <v>6</v>
      </c>
      <c r="B11" s="13" t="inlineStr">
        <is>
          <t>Grade 9</t>
        </is>
      </c>
      <c r="C11" s="14">
        <f>COUNTA('Grade 9_2'!C6:C20)</f>
        <v/>
      </c>
      <c r="D11" s="15">
        <f>COUNTIF('Grade 9_2'!X6:X20, "PASS")</f>
        <v/>
      </c>
      <c r="E11" s="16">
        <f>COUNTIF('Grade 9_2'!X6:X20, "FAIL")</f>
        <v/>
      </c>
      <c r="F11" s="17">
        <f>IF(C11&gt;0, ROUND((D11/C11)*100, 1), 0)</f>
        <v/>
      </c>
      <c r="G11" s="18">
        <f>IF(C11&gt;0, ROUND(AVERAGE('Grade 9_2'!W6:W20), 1), 0)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7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24" customWidth="1" min="3" max="3"/>
    <col width="9" customWidth="1" min="4" max="4"/>
    <col width="9" customWidth="1" min="5" max="5"/>
    <col width="11" customWidth="1" min="6" max="6"/>
    <col width="9" customWidth="1" min="7" max="7"/>
    <col width="9" customWidth="1" min="8" max="8"/>
    <col width="11" customWidth="1" min="9" max="9"/>
    <col width="9" customWidth="1" min="10" max="10"/>
    <col width="9" customWidth="1" min="11" max="11"/>
    <col width="11" customWidth="1" min="12" max="12"/>
    <col width="9" customWidth="1" min="13" max="13"/>
    <col width="9" customWidth="1" min="14" max="14"/>
    <col width="11" customWidth="1" min="15" max="15"/>
    <col width="9" customWidth="1" min="16" max="16"/>
    <col width="9" customWidth="1" min="17" max="17"/>
    <col width="11" customWidth="1" min="18" max="18"/>
    <col width="9" customWidth="1" min="19" max="19"/>
    <col width="9" customWidth="1" min="20" max="20"/>
    <col width="11" customWidth="1" min="21" max="21"/>
    <col width="14" customWidth="1" min="22" max="22"/>
    <col width="13" customWidth="1" min="23" max="23"/>
    <col width="11" customWidth="1" min="24" max="24"/>
    <col width="9" customWidth="1" min="25" max="25"/>
    <col width="10" customWidth="1" min="26" max="26"/>
  </cols>
  <sheetData>
    <row r="1" ht="38" customHeight="1">
      <c r="A1" s="1" t="inlineStr">
        <is>
          <t>EVAL AI (ADEM) — GRADE 10 EXAMINATION MARK SHEET</t>
        </is>
      </c>
    </row>
    <row r="2" ht="22" customHeight="1">
      <c r="A2" s="2" t="inlineStr">
        <is>
          <t>Academic Year: 2025–2026  |  Class: Grade 10  |  Total Subjects: 6  |  Max Marks: 600  |  Pass: Min 35% in each subject</t>
        </is>
      </c>
    </row>
    <row r="3" ht="8" customHeight="1"/>
    <row r="4" ht="26" customHeight="1">
      <c r="A4" s="19" t="inlineStr">
        <is>
          <t>S.No</t>
        </is>
      </c>
      <c r="B4" s="19" t="inlineStr">
        <is>
          <t>Roll No</t>
        </is>
      </c>
      <c r="C4" s="19" t="inlineStr">
        <is>
          <t>Student Name</t>
        </is>
      </c>
      <c r="D4" s="20" t="inlineStr">
        <is>
          <t>BIOLOGY (100)</t>
        </is>
      </c>
      <c r="E4" s="21" t="n"/>
      <c r="F4" s="21" t="n"/>
      <c r="G4" s="20" t="inlineStr">
        <is>
          <t>BIOLOGY (100)</t>
        </is>
      </c>
      <c r="H4" s="21" t="n"/>
      <c r="I4" s="21" t="n"/>
      <c r="J4" s="20" t="inlineStr">
        <is>
          <t>CHEMISTRY (100)</t>
        </is>
      </c>
      <c r="K4" s="21" t="n"/>
      <c r="L4" s="21" t="n"/>
      <c r="M4" s="20" t="inlineStr">
        <is>
          <t>CHEMISTRY (100)</t>
        </is>
      </c>
      <c r="N4" s="21" t="n"/>
      <c r="O4" s="21" t="n"/>
      <c r="P4" s="20" t="inlineStr">
        <is>
          <t>MATHS (100)</t>
        </is>
      </c>
      <c r="Q4" s="21" t="n"/>
      <c r="R4" s="21" t="n"/>
      <c r="S4" s="20" t="inlineStr">
        <is>
          <t>PHYSICS (100)</t>
        </is>
      </c>
      <c r="T4" s="21" t="n"/>
      <c r="U4" s="21" t="n"/>
      <c r="V4" s="20" t="inlineStr">
        <is>
          <t>Grand Total
(600)</t>
        </is>
      </c>
      <c r="W4" s="20" t="inlineStr">
        <is>
          <t>Percentage
(%)</t>
        </is>
      </c>
      <c r="X4" s="20" t="inlineStr">
        <is>
          <t>Result</t>
        </is>
      </c>
      <c r="Y4" s="20" t="inlineStr">
        <is>
          <t>Grade</t>
        </is>
      </c>
      <c r="Z4" s="20" t="inlineStr">
        <is>
          <t>Class
Rank</t>
        </is>
      </c>
    </row>
    <row r="5" ht="28" customHeight="1">
      <c r="A5" s="21" t="n"/>
      <c r="B5" s="21" t="n"/>
      <c r="C5" s="21" t="n"/>
      <c r="D5" s="22" t="inlineStr">
        <is>
          <t>Theory
(80)</t>
        </is>
      </c>
      <c r="E5" s="22" t="inlineStr">
        <is>
          <t>Internal
(20)</t>
        </is>
      </c>
      <c r="F5" s="23" t="inlineStr">
        <is>
          <t>Total
(100)</t>
        </is>
      </c>
      <c r="G5" s="22" t="inlineStr">
        <is>
          <t>Theory
(80)</t>
        </is>
      </c>
      <c r="H5" s="22" t="inlineStr">
        <is>
          <t>Internal
(20)</t>
        </is>
      </c>
      <c r="I5" s="23" t="inlineStr">
        <is>
          <t>Total
(100)</t>
        </is>
      </c>
      <c r="J5" s="22" t="inlineStr">
        <is>
          <t>Theory
(80)</t>
        </is>
      </c>
      <c r="K5" s="22" t="inlineStr">
        <is>
          <t>Internal
(20)</t>
        </is>
      </c>
      <c r="L5" s="23" t="inlineStr">
        <is>
          <t>Total
(100)</t>
        </is>
      </c>
      <c r="M5" s="22" t="inlineStr">
        <is>
          <t>Theory
(80)</t>
        </is>
      </c>
      <c r="N5" s="22" t="inlineStr">
        <is>
          <t>Internal
(20)</t>
        </is>
      </c>
      <c r="O5" s="23" t="inlineStr">
        <is>
          <t>Total
(100)</t>
        </is>
      </c>
      <c r="P5" s="22" t="inlineStr">
        <is>
          <t>Theory
(80)</t>
        </is>
      </c>
      <c r="Q5" s="22" t="inlineStr">
        <is>
          <t>Internal
(20)</t>
        </is>
      </c>
      <c r="R5" s="23" t="inlineStr">
        <is>
          <t>Total
(100)</t>
        </is>
      </c>
      <c r="S5" s="22" t="inlineStr">
        <is>
          <t>Theory
(80)</t>
        </is>
      </c>
      <c r="T5" s="22" t="inlineStr">
        <is>
          <t>Internal
(20)</t>
        </is>
      </c>
      <c r="U5" s="23" t="inlineStr">
        <is>
          <t>Total
(100)</t>
        </is>
      </c>
      <c r="V5" s="21" t="n"/>
      <c r="W5" s="21" t="n"/>
      <c r="X5" s="21" t="n"/>
      <c r="Y5" s="21" t="n"/>
      <c r="Z5" s="21" t="n"/>
    </row>
    <row r="6">
      <c r="A6" s="5" t="inlineStr"/>
      <c r="B6" s="5" t="inlineStr"/>
      <c r="C6" s="6" t="inlineStr"/>
      <c r="D6" s="5" t="n"/>
      <c r="E6" s="5" t="n"/>
      <c r="F6" s="7">
        <f>IF(ISBLANK(C6), "", D6+E6)</f>
        <v/>
      </c>
      <c r="G6" s="5" t="n"/>
      <c r="H6" s="5" t="n"/>
      <c r="I6" s="7">
        <f>IF(ISBLANK(C6), "", G6+H6)</f>
        <v/>
      </c>
      <c r="J6" s="5" t="n"/>
      <c r="K6" s="5" t="n"/>
      <c r="L6" s="7">
        <f>IF(ISBLANK(C6), "", J6+K6)</f>
        <v/>
      </c>
      <c r="M6" s="5" t="n"/>
      <c r="N6" s="5" t="n"/>
      <c r="O6" s="7">
        <f>IF(ISBLANK(C6), "", M6+N6)</f>
        <v/>
      </c>
      <c r="P6" s="5" t="n"/>
      <c r="Q6" s="5" t="n"/>
      <c r="R6" s="7">
        <f>IF(ISBLANK(C6), "", P6+Q6)</f>
        <v/>
      </c>
      <c r="S6" s="5" t="n"/>
      <c r="T6" s="5" t="n"/>
      <c r="U6" s="7">
        <f>IF(ISBLANK(C6), "", S6+T6)</f>
        <v/>
      </c>
      <c r="V6" s="24">
        <f>IF(ISBLANK(C6), "", F6+I6+L6+O6+R6+U6)</f>
        <v/>
      </c>
      <c r="W6" s="10">
        <f>IF(OR(ISBLANK(C6), V6=""), "", ROUND((V6/600)*100, 1))</f>
        <v/>
      </c>
      <c r="X6" s="7">
        <f>IF(OR(ISBLANK(C6), V6=""), "", IF(AND(F6&gt;=35, I6&gt;=35, L6&gt;=35, O6&gt;=35, R6&gt;=35, U6&gt;=35), "PASS", "FAIL"))</f>
        <v/>
      </c>
      <c r="Y6" s="7">
        <f>IF(OR(ISBLANK(C6), X6=""), "", IF(X6="FAIL", "F", IF(W6&gt;=90, "A+", IF(W6&gt;=80, "A", IF(W6&gt;=70, "B", IF(W6&gt;=50, "C", "D"))))))</f>
        <v/>
      </c>
      <c r="Z6" s="7">
        <f>IF(OR(ISBLANK(C6), V6=""), "", RANK(V6, $V$6:$V$20))</f>
        <v/>
      </c>
    </row>
    <row r="7">
      <c r="A7" s="12" t="inlineStr"/>
      <c r="B7" s="12" t="inlineStr"/>
      <c r="C7" s="13" t="inlineStr"/>
      <c r="D7" s="12" t="n"/>
      <c r="E7" s="12" t="n"/>
      <c r="F7" s="14">
        <f>IF(ISBLANK(C7), "", D7+E7)</f>
        <v/>
      </c>
      <c r="G7" s="12" t="n"/>
      <c r="H7" s="12" t="n"/>
      <c r="I7" s="14">
        <f>IF(ISBLANK(C7), "", G7+H7)</f>
        <v/>
      </c>
      <c r="J7" s="12" t="n"/>
      <c r="K7" s="12" t="n"/>
      <c r="L7" s="14">
        <f>IF(ISBLANK(C7), "", J7+K7)</f>
        <v/>
      </c>
      <c r="M7" s="12" t="n"/>
      <c r="N7" s="12" t="n"/>
      <c r="O7" s="14">
        <f>IF(ISBLANK(C7), "", M7+N7)</f>
        <v/>
      </c>
      <c r="P7" s="12" t="n"/>
      <c r="Q7" s="12" t="n"/>
      <c r="R7" s="14">
        <f>IF(ISBLANK(C7), "", P7+Q7)</f>
        <v/>
      </c>
      <c r="S7" s="12" t="n"/>
      <c r="T7" s="12" t="n"/>
      <c r="U7" s="14">
        <f>IF(ISBLANK(C7), "", S7+T7)</f>
        <v/>
      </c>
      <c r="V7" s="25">
        <f>IF(ISBLANK(C7), "", F7+I7+L7+O7+R7+U7)</f>
        <v/>
      </c>
      <c r="W7" s="17">
        <f>IF(OR(ISBLANK(C7), V7=""), "", ROUND((V7/600)*100, 1))</f>
        <v/>
      </c>
      <c r="X7" s="14">
        <f>IF(OR(ISBLANK(C7), V7=""), "", IF(AND(F7&gt;=35, I7&gt;=35, L7&gt;=35, O7&gt;=35, R7&gt;=35, U7&gt;=35), "PASS", "FAIL"))</f>
        <v/>
      </c>
      <c r="Y7" s="14">
        <f>IF(OR(ISBLANK(C7), X7=""), "", IF(X7="FAIL", "F", IF(W7&gt;=90, "A+", IF(W7&gt;=80, "A", IF(W7&gt;=70, "B", IF(W7&gt;=50, "C", "D"))))))</f>
        <v/>
      </c>
      <c r="Z7" s="14">
        <f>IF(OR(ISBLANK(C7), V7=""), "", RANK(V7, $V$6:$V$20))</f>
        <v/>
      </c>
    </row>
    <row r="8">
      <c r="A8" s="5" t="inlineStr"/>
      <c r="B8" s="5" t="inlineStr"/>
      <c r="C8" s="6" t="inlineStr"/>
      <c r="D8" s="5" t="n"/>
      <c r="E8" s="5" t="n"/>
      <c r="F8" s="7">
        <f>IF(ISBLANK(C8), "", D8+E8)</f>
        <v/>
      </c>
      <c r="G8" s="5" t="n"/>
      <c r="H8" s="5" t="n"/>
      <c r="I8" s="7">
        <f>IF(ISBLANK(C8), "", G8+H8)</f>
        <v/>
      </c>
      <c r="J8" s="5" t="n"/>
      <c r="K8" s="5" t="n"/>
      <c r="L8" s="7">
        <f>IF(ISBLANK(C8), "", J8+K8)</f>
        <v/>
      </c>
      <c r="M8" s="5" t="n"/>
      <c r="N8" s="5" t="n"/>
      <c r="O8" s="7">
        <f>IF(ISBLANK(C8), "", M8+N8)</f>
        <v/>
      </c>
      <c r="P8" s="5" t="n"/>
      <c r="Q8" s="5" t="n"/>
      <c r="R8" s="7">
        <f>IF(ISBLANK(C8), "", P8+Q8)</f>
        <v/>
      </c>
      <c r="S8" s="5" t="n"/>
      <c r="T8" s="5" t="n"/>
      <c r="U8" s="7">
        <f>IF(ISBLANK(C8), "", S8+T8)</f>
        <v/>
      </c>
      <c r="V8" s="24">
        <f>IF(ISBLANK(C8), "", F8+I8+L8+O8+R8+U8)</f>
        <v/>
      </c>
      <c r="W8" s="10">
        <f>IF(OR(ISBLANK(C8), V8=""), "", ROUND((V8/600)*100, 1))</f>
        <v/>
      </c>
      <c r="X8" s="7">
        <f>IF(OR(ISBLANK(C8), V8=""), "", IF(AND(F8&gt;=35, I8&gt;=35, L8&gt;=35, O8&gt;=35, R8&gt;=35, U8&gt;=35), "PASS", "FAIL"))</f>
        <v/>
      </c>
      <c r="Y8" s="7">
        <f>IF(OR(ISBLANK(C8), X8=""), "", IF(X8="FAIL", "F", IF(W8&gt;=90, "A+", IF(W8&gt;=80, "A", IF(W8&gt;=70, "B", IF(W8&gt;=50, "C", "D"))))))</f>
        <v/>
      </c>
      <c r="Z8" s="7">
        <f>IF(OR(ISBLANK(C8), V8=""), "", RANK(V8, $V$6:$V$20))</f>
        <v/>
      </c>
    </row>
    <row r="9">
      <c r="A9" s="12" t="inlineStr"/>
      <c r="B9" s="12" t="inlineStr"/>
      <c r="C9" s="13" t="inlineStr"/>
      <c r="D9" s="12" t="n"/>
      <c r="E9" s="12" t="n"/>
      <c r="F9" s="14">
        <f>IF(ISBLANK(C9), "", D9+E9)</f>
        <v/>
      </c>
      <c r="G9" s="12" t="n"/>
      <c r="H9" s="12" t="n"/>
      <c r="I9" s="14">
        <f>IF(ISBLANK(C9), "", G9+H9)</f>
        <v/>
      </c>
      <c r="J9" s="12" t="n"/>
      <c r="K9" s="12" t="n"/>
      <c r="L9" s="14">
        <f>IF(ISBLANK(C9), "", J9+K9)</f>
        <v/>
      </c>
      <c r="M9" s="12" t="n"/>
      <c r="N9" s="12" t="n"/>
      <c r="O9" s="14">
        <f>IF(ISBLANK(C9), "", M9+N9)</f>
        <v/>
      </c>
      <c r="P9" s="12" t="n"/>
      <c r="Q9" s="12" t="n"/>
      <c r="R9" s="14">
        <f>IF(ISBLANK(C9), "", P9+Q9)</f>
        <v/>
      </c>
      <c r="S9" s="12" t="n"/>
      <c r="T9" s="12" t="n"/>
      <c r="U9" s="14">
        <f>IF(ISBLANK(C9), "", S9+T9)</f>
        <v/>
      </c>
      <c r="V9" s="25">
        <f>IF(ISBLANK(C9), "", F9+I9+L9+O9+R9+U9)</f>
        <v/>
      </c>
      <c r="W9" s="17">
        <f>IF(OR(ISBLANK(C9), V9=""), "", ROUND((V9/600)*100, 1))</f>
        <v/>
      </c>
      <c r="X9" s="14">
        <f>IF(OR(ISBLANK(C9), V9=""), "", IF(AND(F9&gt;=35, I9&gt;=35, L9&gt;=35, O9&gt;=35, R9&gt;=35, U9&gt;=35), "PASS", "FAIL"))</f>
        <v/>
      </c>
      <c r="Y9" s="14">
        <f>IF(OR(ISBLANK(C9), X9=""), "", IF(X9="FAIL", "F", IF(W9&gt;=90, "A+", IF(W9&gt;=80, "A", IF(W9&gt;=70, "B", IF(W9&gt;=50, "C", "D"))))))</f>
        <v/>
      </c>
      <c r="Z9" s="14">
        <f>IF(OR(ISBLANK(C9), V9=""), "", RANK(V9, $V$6:$V$20))</f>
        <v/>
      </c>
    </row>
    <row r="10">
      <c r="A10" s="5" t="inlineStr"/>
      <c r="B10" s="5" t="inlineStr"/>
      <c r="C10" s="6" t="inlineStr"/>
      <c r="D10" s="5" t="n"/>
      <c r="E10" s="5" t="n"/>
      <c r="F10" s="7">
        <f>IF(ISBLANK(C10), "", D10+E10)</f>
        <v/>
      </c>
      <c r="G10" s="5" t="n"/>
      <c r="H10" s="5" t="n"/>
      <c r="I10" s="7">
        <f>IF(ISBLANK(C10), "", G10+H10)</f>
        <v/>
      </c>
      <c r="J10" s="5" t="n"/>
      <c r="K10" s="5" t="n"/>
      <c r="L10" s="7">
        <f>IF(ISBLANK(C10), "", J10+K10)</f>
        <v/>
      </c>
      <c r="M10" s="5" t="n"/>
      <c r="N10" s="5" t="n"/>
      <c r="O10" s="7">
        <f>IF(ISBLANK(C10), "", M10+N10)</f>
        <v/>
      </c>
      <c r="P10" s="5" t="n"/>
      <c r="Q10" s="5" t="n"/>
      <c r="R10" s="7">
        <f>IF(ISBLANK(C10), "", P10+Q10)</f>
        <v/>
      </c>
      <c r="S10" s="5" t="n"/>
      <c r="T10" s="5" t="n"/>
      <c r="U10" s="7">
        <f>IF(ISBLANK(C10), "", S10+T10)</f>
        <v/>
      </c>
      <c r="V10" s="24">
        <f>IF(ISBLANK(C10), "", F10+I10+L10+O10+R10+U10)</f>
        <v/>
      </c>
      <c r="W10" s="10">
        <f>IF(OR(ISBLANK(C10), V10=""), "", ROUND((V10/600)*100, 1))</f>
        <v/>
      </c>
      <c r="X10" s="7">
        <f>IF(OR(ISBLANK(C10), V10=""), "", IF(AND(F10&gt;=35, I10&gt;=35, L10&gt;=35, O10&gt;=35, R10&gt;=35, U10&gt;=35), "PASS", "FAIL"))</f>
        <v/>
      </c>
      <c r="Y10" s="7">
        <f>IF(OR(ISBLANK(C10), X10=""), "", IF(X10="FAIL", "F", IF(W10&gt;=90, "A+", IF(W10&gt;=80, "A", IF(W10&gt;=70, "B", IF(W10&gt;=50, "C", "D"))))))</f>
        <v/>
      </c>
      <c r="Z10" s="7">
        <f>IF(OR(ISBLANK(C10), V10=""), "", RANK(V10, $V$6:$V$20))</f>
        <v/>
      </c>
    </row>
    <row r="11">
      <c r="A11" s="12" t="inlineStr"/>
      <c r="B11" s="12" t="inlineStr"/>
      <c r="C11" s="13" t="inlineStr"/>
      <c r="D11" s="12" t="n"/>
      <c r="E11" s="12" t="n"/>
      <c r="F11" s="14">
        <f>IF(ISBLANK(C11), "", D11+E11)</f>
        <v/>
      </c>
      <c r="G11" s="12" t="n"/>
      <c r="H11" s="12" t="n"/>
      <c r="I11" s="14">
        <f>IF(ISBLANK(C11), "", G11+H11)</f>
        <v/>
      </c>
      <c r="J11" s="12" t="n"/>
      <c r="K11" s="12" t="n"/>
      <c r="L11" s="14">
        <f>IF(ISBLANK(C11), "", J11+K11)</f>
        <v/>
      </c>
      <c r="M11" s="12" t="n"/>
      <c r="N11" s="12" t="n"/>
      <c r="O11" s="14">
        <f>IF(ISBLANK(C11), "", M11+N11)</f>
        <v/>
      </c>
      <c r="P11" s="12" t="n"/>
      <c r="Q11" s="12" t="n"/>
      <c r="R11" s="14">
        <f>IF(ISBLANK(C11), "", P11+Q11)</f>
        <v/>
      </c>
      <c r="S11" s="12" t="n"/>
      <c r="T11" s="12" t="n"/>
      <c r="U11" s="14">
        <f>IF(ISBLANK(C11), "", S11+T11)</f>
        <v/>
      </c>
      <c r="V11" s="25">
        <f>IF(ISBLANK(C11), "", F11+I11+L11+O11+R11+U11)</f>
        <v/>
      </c>
      <c r="W11" s="17">
        <f>IF(OR(ISBLANK(C11), V11=""), "", ROUND((V11/600)*100, 1))</f>
        <v/>
      </c>
      <c r="X11" s="14">
        <f>IF(OR(ISBLANK(C11), V11=""), "", IF(AND(F11&gt;=35, I11&gt;=35, L11&gt;=35, O11&gt;=35, R11&gt;=35, U11&gt;=35), "PASS", "FAIL"))</f>
        <v/>
      </c>
      <c r="Y11" s="14">
        <f>IF(OR(ISBLANK(C11), X11=""), "", IF(X11="FAIL", "F", IF(W11&gt;=90, "A+", IF(W11&gt;=80, "A", IF(W11&gt;=70, "B", IF(W11&gt;=50, "C", "D"))))))</f>
        <v/>
      </c>
      <c r="Z11" s="14">
        <f>IF(OR(ISBLANK(C11), V11=""), "", RANK(V11, $V$6:$V$20))</f>
        <v/>
      </c>
    </row>
    <row r="12">
      <c r="A12" s="5" t="inlineStr"/>
      <c r="B12" s="5" t="inlineStr"/>
      <c r="C12" s="6" t="inlineStr"/>
      <c r="D12" s="5" t="n"/>
      <c r="E12" s="5" t="n"/>
      <c r="F12" s="7">
        <f>IF(ISBLANK(C12), "", D12+E12)</f>
        <v/>
      </c>
      <c r="G12" s="5" t="n"/>
      <c r="H12" s="5" t="n"/>
      <c r="I12" s="7">
        <f>IF(ISBLANK(C12), "", G12+H12)</f>
        <v/>
      </c>
      <c r="J12" s="5" t="n"/>
      <c r="K12" s="5" t="n"/>
      <c r="L12" s="7">
        <f>IF(ISBLANK(C12), "", J12+K12)</f>
        <v/>
      </c>
      <c r="M12" s="5" t="n"/>
      <c r="N12" s="5" t="n"/>
      <c r="O12" s="7">
        <f>IF(ISBLANK(C12), "", M12+N12)</f>
        <v/>
      </c>
      <c r="P12" s="5" t="n"/>
      <c r="Q12" s="5" t="n"/>
      <c r="R12" s="7">
        <f>IF(ISBLANK(C12), "", P12+Q12)</f>
        <v/>
      </c>
      <c r="S12" s="5" t="n"/>
      <c r="T12" s="5" t="n"/>
      <c r="U12" s="7">
        <f>IF(ISBLANK(C12), "", S12+T12)</f>
        <v/>
      </c>
      <c r="V12" s="24">
        <f>IF(ISBLANK(C12), "", F12+I12+L12+O12+R12+U12)</f>
        <v/>
      </c>
      <c r="W12" s="10">
        <f>IF(OR(ISBLANK(C12), V12=""), "", ROUND((V12/600)*100, 1))</f>
        <v/>
      </c>
      <c r="X12" s="7">
        <f>IF(OR(ISBLANK(C12), V12=""), "", IF(AND(F12&gt;=35, I12&gt;=35, L12&gt;=35, O12&gt;=35, R12&gt;=35, U12&gt;=35), "PASS", "FAIL"))</f>
        <v/>
      </c>
      <c r="Y12" s="7">
        <f>IF(OR(ISBLANK(C12), X12=""), "", IF(X12="FAIL", "F", IF(W12&gt;=90, "A+", IF(W12&gt;=80, "A", IF(W12&gt;=70, "B", IF(W12&gt;=50, "C", "D"))))))</f>
        <v/>
      </c>
      <c r="Z12" s="7">
        <f>IF(OR(ISBLANK(C12), V12=""), "", RANK(V12, $V$6:$V$20))</f>
        <v/>
      </c>
    </row>
    <row r="13">
      <c r="A13" s="12" t="inlineStr"/>
      <c r="B13" s="12" t="inlineStr"/>
      <c r="C13" s="13" t="inlineStr"/>
      <c r="D13" s="12" t="n"/>
      <c r="E13" s="12" t="n"/>
      <c r="F13" s="14">
        <f>IF(ISBLANK(C13), "", D13+E13)</f>
        <v/>
      </c>
      <c r="G13" s="12" t="n"/>
      <c r="H13" s="12" t="n"/>
      <c r="I13" s="14">
        <f>IF(ISBLANK(C13), "", G13+H13)</f>
        <v/>
      </c>
      <c r="J13" s="12" t="n"/>
      <c r="K13" s="12" t="n"/>
      <c r="L13" s="14">
        <f>IF(ISBLANK(C13), "", J13+K13)</f>
        <v/>
      </c>
      <c r="M13" s="12" t="n"/>
      <c r="N13" s="12" t="n"/>
      <c r="O13" s="14">
        <f>IF(ISBLANK(C13), "", M13+N13)</f>
        <v/>
      </c>
      <c r="P13" s="12" t="n"/>
      <c r="Q13" s="12" t="n"/>
      <c r="R13" s="14">
        <f>IF(ISBLANK(C13), "", P13+Q13)</f>
        <v/>
      </c>
      <c r="S13" s="12" t="n"/>
      <c r="T13" s="12" t="n"/>
      <c r="U13" s="14">
        <f>IF(ISBLANK(C13), "", S13+T13)</f>
        <v/>
      </c>
      <c r="V13" s="25">
        <f>IF(ISBLANK(C13), "", F13+I13+L13+O13+R13+U13)</f>
        <v/>
      </c>
      <c r="W13" s="17">
        <f>IF(OR(ISBLANK(C13), V13=""), "", ROUND((V13/600)*100, 1))</f>
        <v/>
      </c>
      <c r="X13" s="14">
        <f>IF(OR(ISBLANK(C13), V13=""), "", IF(AND(F13&gt;=35, I13&gt;=35, L13&gt;=35, O13&gt;=35, R13&gt;=35, U13&gt;=35), "PASS", "FAIL"))</f>
        <v/>
      </c>
      <c r="Y13" s="14">
        <f>IF(OR(ISBLANK(C13), X13=""), "", IF(X13="FAIL", "F", IF(W13&gt;=90, "A+", IF(W13&gt;=80, "A", IF(W13&gt;=70, "B", IF(W13&gt;=50, "C", "D"))))))</f>
        <v/>
      </c>
      <c r="Z13" s="14">
        <f>IF(OR(ISBLANK(C13), V13=""), "", RANK(V13, $V$6:$V$20))</f>
        <v/>
      </c>
    </row>
    <row r="14">
      <c r="A14" s="5" t="inlineStr"/>
      <c r="B14" s="5" t="inlineStr"/>
      <c r="C14" s="6" t="inlineStr"/>
      <c r="D14" s="5" t="n"/>
      <c r="E14" s="5" t="n"/>
      <c r="F14" s="7">
        <f>IF(ISBLANK(C14), "", D14+E14)</f>
        <v/>
      </c>
      <c r="G14" s="5" t="n"/>
      <c r="H14" s="5" t="n"/>
      <c r="I14" s="7">
        <f>IF(ISBLANK(C14), "", G14+H14)</f>
        <v/>
      </c>
      <c r="J14" s="5" t="n"/>
      <c r="K14" s="5" t="n"/>
      <c r="L14" s="7">
        <f>IF(ISBLANK(C14), "", J14+K14)</f>
        <v/>
      </c>
      <c r="M14" s="5" t="n"/>
      <c r="N14" s="5" t="n"/>
      <c r="O14" s="7">
        <f>IF(ISBLANK(C14), "", M14+N14)</f>
        <v/>
      </c>
      <c r="P14" s="5" t="n"/>
      <c r="Q14" s="5" t="n"/>
      <c r="R14" s="7">
        <f>IF(ISBLANK(C14), "", P14+Q14)</f>
        <v/>
      </c>
      <c r="S14" s="5" t="n"/>
      <c r="T14" s="5" t="n"/>
      <c r="U14" s="7">
        <f>IF(ISBLANK(C14), "", S14+T14)</f>
        <v/>
      </c>
      <c r="V14" s="24">
        <f>IF(ISBLANK(C14), "", F14+I14+L14+O14+R14+U14)</f>
        <v/>
      </c>
      <c r="W14" s="10">
        <f>IF(OR(ISBLANK(C14), V14=""), "", ROUND((V14/600)*100, 1))</f>
        <v/>
      </c>
      <c r="X14" s="7">
        <f>IF(OR(ISBLANK(C14), V14=""), "", IF(AND(F14&gt;=35, I14&gt;=35, L14&gt;=35, O14&gt;=35, R14&gt;=35, U14&gt;=35), "PASS", "FAIL"))</f>
        <v/>
      </c>
      <c r="Y14" s="7">
        <f>IF(OR(ISBLANK(C14), X14=""), "", IF(X14="FAIL", "F", IF(W14&gt;=90, "A+", IF(W14&gt;=80, "A", IF(W14&gt;=70, "B", IF(W14&gt;=50, "C", "D"))))))</f>
        <v/>
      </c>
      <c r="Z14" s="7">
        <f>IF(OR(ISBLANK(C14), V14=""), "", RANK(V14, $V$6:$V$20))</f>
        <v/>
      </c>
    </row>
    <row r="15">
      <c r="A15" s="12" t="inlineStr"/>
      <c r="B15" s="12" t="inlineStr"/>
      <c r="C15" s="13" t="inlineStr"/>
      <c r="D15" s="12" t="n"/>
      <c r="E15" s="12" t="n"/>
      <c r="F15" s="14">
        <f>IF(ISBLANK(C15), "", D15+E15)</f>
        <v/>
      </c>
      <c r="G15" s="12" t="n"/>
      <c r="H15" s="12" t="n"/>
      <c r="I15" s="14">
        <f>IF(ISBLANK(C15), "", G15+H15)</f>
        <v/>
      </c>
      <c r="J15" s="12" t="n"/>
      <c r="K15" s="12" t="n"/>
      <c r="L15" s="14">
        <f>IF(ISBLANK(C15), "", J15+K15)</f>
        <v/>
      </c>
      <c r="M15" s="12" t="n"/>
      <c r="N15" s="12" t="n"/>
      <c r="O15" s="14">
        <f>IF(ISBLANK(C15), "", M15+N15)</f>
        <v/>
      </c>
      <c r="P15" s="12" t="n"/>
      <c r="Q15" s="12" t="n"/>
      <c r="R15" s="14">
        <f>IF(ISBLANK(C15), "", P15+Q15)</f>
        <v/>
      </c>
      <c r="S15" s="12" t="n"/>
      <c r="T15" s="12" t="n"/>
      <c r="U15" s="14">
        <f>IF(ISBLANK(C15), "", S15+T15)</f>
        <v/>
      </c>
      <c r="V15" s="25">
        <f>IF(ISBLANK(C15), "", F15+I15+L15+O15+R15+U15)</f>
        <v/>
      </c>
      <c r="W15" s="17">
        <f>IF(OR(ISBLANK(C15), V15=""), "", ROUND((V15/600)*100, 1))</f>
        <v/>
      </c>
      <c r="X15" s="14">
        <f>IF(OR(ISBLANK(C15), V15=""), "", IF(AND(F15&gt;=35, I15&gt;=35, L15&gt;=35, O15&gt;=35, R15&gt;=35, U15&gt;=35), "PASS", "FAIL"))</f>
        <v/>
      </c>
      <c r="Y15" s="14">
        <f>IF(OR(ISBLANK(C15), X15=""), "", IF(X15="FAIL", "F", IF(W15&gt;=90, "A+", IF(W15&gt;=80, "A", IF(W15&gt;=70, "B", IF(W15&gt;=50, "C", "D"))))))</f>
        <v/>
      </c>
      <c r="Z15" s="14">
        <f>IF(OR(ISBLANK(C15), V15=""), "", RANK(V15, $V$6:$V$20))</f>
        <v/>
      </c>
    </row>
    <row r="16">
      <c r="A16" s="5" t="inlineStr"/>
      <c r="B16" s="5" t="inlineStr"/>
      <c r="C16" s="6" t="inlineStr"/>
      <c r="D16" s="5" t="n"/>
      <c r="E16" s="5" t="n"/>
      <c r="F16" s="7">
        <f>IF(ISBLANK(C16), "", D16+E16)</f>
        <v/>
      </c>
      <c r="G16" s="5" t="n"/>
      <c r="H16" s="5" t="n"/>
      <c r="I16" s="7">
        <f>IF(ISBLANK(C16), "", G16+H16)</f>
        <v/>
      </c>
      <c r="J16" s="5" t="n"/>
      <c r="K16" s="5" t="n"/>
      <c r="L16" s="7">
        <f>IF(ISBLANK(C16), "", J16+K16)</f>
        <v/>
      </c>
      <c r="M16" s="5" t="n"/>
      <c r="N16" s="5" t="n"/>
      <c r="O16" s="7">
        <f>IF(ISBLANK(C16), "", M16+N16)</f>
        <v/>
      </c>
      <c r="P16" s="5" t="n"/>
      <c r="Q16" s="5" t="n"/>
      <c r="R16" s="7">
        <f>IF(ISBLANK(C16), "", P16+Q16)</f>
        <v/>
      </c>
      <c r="S16" s="5" t="n"/>
      <c r="T16" s="5" t="n"/>
      <c r="U16" s="7">
        <f>IF(ISBLANK(C16), "", S16+T16)</f>
        <v/>
      </c>
      <c r="V16" s="24">
        <f>IF(ISBLANK(C16), "", F16+I16+L16+O16+R16+U16)</f>
        <v/>
      </c>
      <c r="W16" s="10">
        <f>IF(OR(ISBLANK(C16), V16=""), "", ROUND((V16/600)*100, 1))</f>
        <v/>
      </c>
      <c r="X16" s="7">
        <f>IF(OR(ISBLANK(C16), V16=""), "", IF(AND(F16&gt;=35, I16&gt;=35, L16&gt;=35, O16&gt;=35, R16&gt;=35, U16&gt;=35), "PASS", "FAIL"))</f>
        <v/>
      </c>
      <c r="Y16" s="7">
        <f>IF(OR(ISBLANK(C16), X16=""), "", IF(X16="FAIL", "F", IF(W16&gt;=90, "A+", IF(W16&gt;=80, "A", IF(W16&gt;=70, "B", IF(W16&gt;=50, "C", "D"))))))</f>
        <v/>
      </c>
      <c r="Z16" s="7">
        <f>IF(OR(ISBLANK(C16), V16=""), "", RANK(V16, $V$6:$V$20))</f>
        <v/>
      </c>
    </row>
    <row r="17">
      <c r="A17" s="12" t="inlineStr"/>
      <c r="B17" s="12" t="inlineStr"/>
      <c r="C17" s="13" t="inlineStr"/>
      <c r="D17" s="12" t="n"/>
      <c r="E17" s="12" t="n"/>
      <c r="F17" s="14">
        <f>IF(ISBLANK(C17), "", D17+E17)</f>
        <v/>
      </c>
      <c r="G17" s="12" t="n"/>
      <c r="H17" s="12" t="n"/>
      <c r="I17" s="14">
        <f>IF(ISBLANK(C17), "", G17+H17)</f>
        <v/>
      </c>
      <c r="J17" s="12" t="n"/>
      <c r="K17" s="12" t="n"/>
      <c r="L17" s="14">
        <f>IF(ISBLANK(C17), "", J17+K17)</f>
        <v/>
      </c>
      <c r="M17" s="12" t="n"/>
      <c r="N17" s="12" t="n"/>
      <c r="O17" s="14">
        <f>IF(ISBLANK(C17), "", M17+N17)</f>
        <v/>
      </c>
      <c r="P17" s="12" t="n"/>
      <c r="Q17" s="12" t="n"/>
      <c r="R17" s="14">
        <f>IF(ISBLANK(C17), "", P17+Q17)</f>
        <v/>
      </c>
      <c r="S17" s="12" t="n"/>
      <c r="T17" s="12" t="n"/>
      <c r="U17" s="14">
        <f>IF(ISBLANK(C17), "", S17+T17)</f>
        <v/>
      </c>
      <c r="V17" s="25">
        <f>IF(ISBLANK(C17), "", F17+I17+L17+O17+R17+U17)</f>
        <v/>
      </c>
      <c r="W17" s="17">
        <f>IF(OR(ISBLANK(C17), V17=""), "", ROUND((V17/600)*100, 1))</f>
        <v/>
      </c>
      <c r="X17" s="14">
        <f>IF(OR(ISBLANK(C17), V17=""), "", IF(AND(F17&gt;=35, I17&gt;=35, L17&gt;=35, O17&gt;=35, R17&gt;=35, U17&gt;=35), "PASS", "FAIL"))</f>
        <v/>
      </c>
      <c r="Y17" s="14">
        <f>IF(OR(ISBLANK(C17), X17=""), "", IF(X17="FAIL", "F", IF(W17&gt;=90, "A+", IF(W17&gt;=80, "A", IF(W17&gt;=70, "B", IF(W17&gt;=50, "C", "D"))))))</f>
        <v/>
      </c>
      <c r="Z17" s="14">
        <f>IF(OR(ISBLANK(C17), V17=""), "", RANK(V17, $V$6:$V$20))</f>
        <v/>
      </c>
    </row>
    <row r="18">
      <c r="A18" s="5" t="inlineStr"/>
      <c r="B18" s="5" t="inlineStr"/>
      <c r="C18" s="6" t="inlineStr"/>
      <c r="D18" s="5" t="n"/>
      <c r="E18" s="5" t="n"/>
      <c r="F18" s="7">
        <f>IF(ISBLANK(C18), "", D18+E18)</f>
        <v/>
      </c>
      <c r="G18" s="5" t="n"/>
      <c r="H18" s="5" t="n"/>
      <c r="I18" s="7">
        <f>IF(ISBLANK(C18), "", G18+H18)</f>
        <v/>
      </c>
      <c r="J18" s="5" t="n"/>
      <c r="K18" s="5" t="n"/>
      <c r="L18" s="7">
        <f>IF(ISBLANK(C18), "", J18+K18)</f>
        <v/>
      </c>
      <c r="M18" s="5" t="n"/>
      <c r="N18" s="5" t="n"/>
      <c r="O18" s="7">
        <f>IF(ISBLANK(C18), "", M18+N18)</f>
        <v/>
      </c>
      <c r="P18" s="5" t="n"/>
      <c r="Q18" s="5" t="n"/>
      <c r="R18" s="7">
        <f>IF(ISBLANK(C18), "", P18+Q18)</f>
        <v/>
      </c>
      <c r="S18" s="5" t="n"/>
      <c r="T18" s="5" t="n"/>
      <c r="U18" s="7">
        <f>IF(ISBLANK(C18), "", S18+T18)</f>
        <v/>
      </c>
      <c r="V18" s="24">
        <f>IF(ISBLANK(C18), "", F18+I18+L18+O18+R18+U18)</f>
        <v/>
      </c>
      <c r="W18" s="10">
        <f>IF(OR(ISBLANK(C18), V18=""), "", ROUND((V18/600)*100, 1))</f>
        <v/>
      </c>
      <c r="X18" s="7">
        <f>IF(OR(ISBLANK(C18), V18=""), "", IF(AND(F18&gt;=35, I18&gt;=35, L18&gt;=35, O18&gt;=35, R18&gt;=35, U18&gt;=35), "PASS", "FAIL"))</f>
        <v/>
      </c>
      <c r="Y18" s="7">
        <f>IF(OR(ISBLANK(C18), X18=""), "", IF(X18="FAIL", "F", IF(W18&gt;=90, "A+", IF(W18&gt;=80, "A", IF(W18&gt;=70, "B", IF(W18&gt;=50, "C", "D"))))))</f>
        <v/>
      </c>
      <c r="Z18" s="7">
        <f>IF(OR(ISBLANK(C18), V18=""), "", RANK(V18, $V$6:$V$20))</f>
        <v/>
      </c>
    </row>
    <row r="19">
      <c r="A19" s="12" t="inlineStr"/>
      <c r="B19" s="12" t="inlineStr"/>
      <c r="C19" s="13" t="inlineStr"/>
      <c r="D19" s="12" t="n"/>
      <c r="E19" s="12" t="n"/>
      <c r="F19" s="14">
        <f>IF(ISBLANK(C19), "", D19+E19)</f>
        <v/>
      </c>
      <c r="G19" s="12" t="n"/>
      <c r="H19" s="12" t="n"/>
      <c r="I19" s="14">
        <f>IF(ISBLANK(C19), "", G19+H19)</f>
        <v/>
      </c>
      <c r="J19" s="12" t="n"/>
      <c r="K19" s="12" t="n"/>
      <c r="L19" s="14">
        <f>IF(ISBLANK(C19), "", J19+K19)</f>
        <v/>
      </c>
      <c r="M19" s="12" t="n"/>
      <c r="N19" s="12" t="n"/>
      <c r="O19" s="14">
        <f>IF(ISBLANK(C19), "", M19+N19)</f>
        <v/>
      </c>
      <c r="P19" s="12" t="n"/>
      <c r="Q19" s="12" t="n"/>
      <c r="R19" s="14">
        <f>IF(ISBLANK(C19), "", P19+Q19)</f>
        <v/>
      </c>
      <c r="S19" s="12" t="n"/>
      <c r="T19" s="12" t="n"/>
      <c r="U19" s="14">
        <f>IF(ISBLANK(C19), "", S19+T19)</f>
        <v/>
      </c>
      <c r="V19" s="25">
        <f>IF(ISBLANK(C19), "", F19+I19+L19+O19+R19+U19)</f>
        <v/>
      </c>
      <c r="W19" s="17">
        <f>IF(OR(ISBLANK(C19), V19=""), "", ROUND((V19/600)*100, 1))</f>
        <v/>
      </c>
      <c r="X19" s="14">
        <f>IF(OR(ISBLANK(C19), V19=""), "", IF(AND(F19&gt;=35, I19&gt;=35, L19&gt;=35, O19&gt;=35, R19&gt;=35, U19&gt;=35), "PASS", "FAIL"))</f>
        <v/>
      </c>
      <c r="Y19" s="14">
        <f>IF(OR(ISBLANK(C19), X19=""), "", IF(X19="FAIL", "F", IF(W19&gt;=90, "A+", IF(W19&gt;=80, "A", IF(W19&gt;=70, "B", IF(W19&gt;=50, "C", "D"))))))</f>
        <v/>
      </c>
      <c r="Z19" s="14">
        <f>IF(OR(ISBLANK(C19), V19=""), "", RANK(V19, $V$6:$V$20))</f>
        <v/>
      </c>
    </row>
    <row r="20">
      <c r="A20" s="5" t="inlineStr"/>
      <c r="B20" s="5" t="inlineStr"/>
      <c r="C20" s="6" t="inlineStr"/>
      <c r="D20" s="5" t="n"/>
      <c r="E20" s="5" t="n"/>
      <c r="F20" s="7">
        <f>IF(ISBLANK(C20), "", D20+E20)</f>
        <v/>
      </c>
      <c r="G20" s="5" t="n"/>
      <c r="H20" s="5" t="n"/>
      <c r="I20" s="7">
        <f>IF(ISBLANK(C20), "", G20+H20)</f>
        <v/>
      </c>
      <c r="J20" s="5" t="n"/>
      <c r="K20" s="5" t="n"/>
      <c r="L20" s="7">
        <f>IF(ISBLANK(C20), "", J20+K20)</f>
        <v/>
      </c>
      <c r="M20" s="5" t="n"/>
      <c r="N20" s="5" t="n"/>
      <c r="O20" s="7">
        <f>IF(ISBLANK(C20), "", M20+N20)</f>
        <v/>
      </c>
      <c r="P20" s="5" t="n"/>
      <c r="Q20" s="5" t="n"/>
      <c r="R20" s="7">
        <f>IF(ISBLANK(C20), "", P20+Q20)</f>
        <v/>
      </c>
      <c r="S20" s="5" t="n"/>
      <c r="T20" s="5" t="n"/>
      <c r="U20" s="7">
        <f>IF(ISBLANK(C20), "", S20+T20)</f>
        <v/>
      </c>
      <c r="V20" s="24">
        <f>IF(ISBLANK(C20), "", F20+I20+L20+O20+R20+U20)</f>
        <v/>
      </c>
      <c r="W20" s="10">
        <f>IF(OR(ISBLANK(C20), V20=""), "", ROUND((V20/600)*100, 1))</f>
        <v/>
      </c>
      <c r="X20" s="7">
        <f>IF(OR(ISBLANK(C20), V20=""), "", IF(AND(F20&gt;=35, I20&gt;=35, L20&gt;=35, O20&gt;=35, R20&gt;=35, U20&gt;=35), "PASS", "FAIL"))</f>
        <v/>
      </c>
      <c r="Y20" s="7">
        <f>IF(OR(ISBLANK(C20), X20=""), "", IF(X20="FAIL", "F", IF(W20&gt;=90, "A+", IF(W20&gt;=80, "A", IF(W20&gt;=70, "B", IF(W20&gt;=50, "C", "D"))))))</f>
        <v/>
      </c>
      <c r="Z20" s="7">
        <f>IF(OR(ISBLANK(C20), V20=""), "", RANK(V20, $V$6:$V$20))</f>
        <v/>
      </c>
    </row>
    <row r="22">
      <c r="A22" t="inlineStr"/>
    </row>
    <row r="23">
      <c r="A23" s="26" t="inlineStr">
        <is>
          <t>CLASS AVERAGE</t>
        </is>
      </c>
      <c r="B23" s="27" t="n"/>
      <c r="C23" s="27" t="n"/>
      <c r="D23" s="28">
        <f>IF(COUNTA(C6:C20)&gt;0, ROUND(AVERAGE(F6:F20), 1), "-")</f>
        <v/>
      </c>
      <c r="E23" s="27" t="n"/>
      <c r="F23" s="27" t="n"/>
      <c r="G23" s="28">
        <f>IF(COUNTA(C6:C20)&gt;0, ROUND(AVERAGE(I6:I20), 1), "-")</f>
        <v/>
      </c>
      <c r="H23" s="27" t="n"/>
      <c r="I23" s="27" t="n"/>
      <c r="J23" s="28">
        <f>IF(COUNTA(C6:C20)&gt;0, ROUND(AVERAGE(L6:L20), 1), "-")</f>
        <v/>
      </c>
      <c r="K23" s="27" t="n"/>
      <c r="L23" s="27" t="n"/>
      <c r="M23" s="28">
        <f>IF(COUNTA(C6:C20)&gt;0, ROUND(AVERAGE(O6:O20), 1), "-")</f>
        <v/>
      </c>
      <c r="N23" s="27" t="n"/>
      <c r="O23" s="27" t="n"/>
      <c r="P23" s="28">
        <f>IF(COUNTA(C6:C20)&gt;0, ROUND(AVERAGE(R6:R20), 1), "-")</f>
        <v/>
      </c>
      <c r="Q23" s="27" t="n"/>
      <c r="R23" s="27" t="n"/>
      <c r="S23" s="28">
        <f>IF(COUNTA(C6:C20)&gt;0, ROUND(AVERAGE(U6:U20), 1), "-")</f>
        <v/>
      </c>
      <c r="T23" s="27" t="n"/>
      <c r="U23" s="27" t="n"/>
      <c r="V23" s="29">
        <f>IF(COUNTA(C6:C20)&gt;0, ROUND(AVERAGE(V6:V20), 1), "-")</f>
        <v/>
      </c>
      <c r="W23" s="30">
        <f>IF(COUNTA(C6:C20)&gt;0, ROUND(AVERAGE(W6:W20), 1), "-")</f>
        <v/>
      </c>
      <c r="X23" s="27" t="n"/>
      <c r="Y23" s="27" t="n"/>
      <c r="Z23" s="27" t="n"/>
    </row>
    <row r="24">
      <c r="A24" s="26" t="inlineStr">
        <is>
          <t>HIGHEST MARKS</t>
        </is>
      </c>
      <c r="B24" s="27" t="n"/>
      <c r="C24" s="27" t="n"/>
      <c r="D24" s="31">
        <f>IF(COUNTA(C6:C20)&gt;0, MAX(F6:F20), "-")</f>
        <v/>
      </c>
      <c r="E24" s="27" t="n"/>
      <c r="F24" s="27" t="n"/>
      <c r="G24" s="31">
        <f>IF(COUNTA(C6:C20)&gt;0, MAX(I6:I20), "-")</f>
        <v/>
      </c>
      <c r="H24" s="27" t="n"/>
      <c r="I24" s="27" t="n"/>
      <c r="J24" s="31">
        <f>IF(COUNTA(C6:C20)&gt;0, MAX(L6:L20), "-")</f>
        <v/>
      </c>
      <c r="K24" s="27" t="n"/>
      <c r="L24" s="27" t="n"/>
      <c r="M24" s="31">
        <f>IF(COUNTA(C6:C20)&gt;0, MAX(O6:O20), "-")</f>
        <v/>
      </c>
      <c r="N24" s="27" t="n"/>
      <c r="O24" s="27" t="n"/>
      <c r="P24" s="31">
        <f>IF(COUNTA(C6:C20)&gt;0, MAX(R6:R20), "-")</f>
        <v/>
      </c>
      <c r="Q24" s="27" t="n"/>
      <c r="R24" s="27" t="n"/>
      <c r="S24" s="31">
        <f>IF(COUNTA(C6:C20)&gt;0, MAX(U6:U20), "-")</f>
        <v/>
      </c>
      <c r="T24" s="27" t="n"/>
      <c r="U24" s="27" t="n"/>
      <c r="V24" s="32">
        <f>IF(COUNTA(C6:C20)&gt;0, MAX(V6:V20), "-")</f>
        <v/>
      </c>
      <c r="W24" s="30">
        <f>IF(COUNTA(C6:C20)&gt;0, MAX(W6:W20), "-")</f>
        <v/>
      </c>
      <c r="X24" s="27" t="n"/>
      <c r="Y24" s="27" t="n"/>
      <c r="Z24" s="27" t="n"/>
    </row>
    <row r="25">
      <c r="A25" s="26" t="inlineStr">
        <is>
          <t>LOWEST MARKS</t>
        </is>
      </c>
      <c r="B25" s="27" t="n"/>
      <c r="C25" s="27" t="n"/>
      <c r="D25" s="31">
        <f>IF(COUNTA(C6:C20)&gt;0, MIN(F6:F20), "-")</f>
        <v/>
      </c>
      <c r="E25" s="27" t="n"/>
      <c r="F25" s="27" t="n"/>
      <c r="G25" s="31">
        <f>IF(COUNTA(C6:C20)&gt;0, MIN(I6:I20), "-")</f>
        <v/>
      </c>
      <c r="H25" s="27" t="n"/>
      <c r="I25" s="27" t="n"/>
      <c r="J25" s="31">
        <f>IF(COUNTA(C6:C20)&gt;0, MIN(L6:L20), "-")</f>
        <v/>
      </c>
      <c r="K25" s="27" t="n"/>
      <c r="L25" s="27" t="n"/>
      <c r="M25" s="31">
        <f>IF(COUNTA(C6:C20)&gt;0, MIN(O6:O20), "-")</f>
        <v/>
      </c>
      <c r="N25" s="27" t="n"/>
      <c r="O25" s="27" t="n"/>
      <c r="P25" s="31">
        <f>IF(COUNTA(C6:C20)&gt;0, MIN(R6:R20), "-")</f>
        <v/>
      </c>
      <c r="Q25" s="27" t="n"/>
      <c r="R25" s="27" t="n"/>
      <c r="S25" s="31">
        <f>IF(COUNTA(C6:C20)&gt;0, MIN(U6:U20), "-")</f>
        <v/>
      </c>
      <c r="T25" s="27" t="n"/>
      <c r="U25" s="27" t="n"/>
      <c r="V25" s="32">
        <f>IF(COUNTA(C6:C20)&gt;0, MIN(V6:V20), "-")</f>
        <v/>
      </c>
      <c r="W25" s="30">
        <f>IF(COUNTA(C6:C20)&gt;0, MIN(W6:W20), "-")</f>
        <v/>
      </c>
      <c r="X25" s="27" t="n"/>
      <c r="Y25" s="27" t="n"/>
      <c r="Z25" s="27" t="n"/>
    </row>
    <row r="26">
      <c r="A26" s="26" t="inlineStr">
        <is>
          <t>TOTAL PASSED</t>
        </is>
      </c>
      <c r="B26" s="27" t="n"/>
      <c r="C26" s="27" t="n"/>
      <c r="D26" s="31">
        <f>COUNTIF(F6:F20, "&gt;=35")</f>
        <v/>
      </c>
      <c r="E26" s="27" t="n"/>
      <c r="F26" s="27" t="n"/>
      <c r="G26" s="31">
        <f>COUNTIF(I6:I20, "&gt;=35")</f>
        <v/>
      </c>
      <c r="H26" s="27" t="n"/>
      <c r="I26" s="27" t="n"/>
      <c r="J26" s="31">
        <f>COUNTIF(L6:L20, "&gt;=35")</f>
        <v/>
      </c>
      <c r="K26" s="27" t="n"/>
      <c r="L26" s="27" t="n"/>
      <c r="M26" s="31">
        <f>COUNTIF(O6:O20, "&gt;=35")</f>
        <v/>
      </c>
      <c r="N26" s="27" t="n"/>
      <c r="O26" s="27" t="n"/>
      <c r="P26" s="31">
        <f>COUNTIF(R6:R20, "&gt;=35")</f>
        <v/>
      </c>
      <c r="Q26" s="27" t="n"/>
      <c r="R26" s="27" t="n"/>
      <c r="S26" s="31">
        <f>COUNTIF(U6:U20, "&gt;=35")</f>
        <v/>
      </c>
      <c r="T26" s="27" t="n"/>
      <c r="U26" s="27" t="n"/>
      <c r="V26" s="32">
        <f>COUNTIF(X6:X20, "PASS")</f>
        <v/>
      </c>
      <c r="W26" s="31" t="n"/>
      <c r="X26" s="27" t="n"/>
      <c r="Y26" s="27" t="n"/>
      <c r="Z26" s="27" t="n"/>
    </row>
    <row r="27">
      <c r="A27" s="26" t="inlineStr">
        <is>
          <t>PASS PERCENTAGE (%)</t>
        </is>
      </c>
      <c r="B27" s="27" t="n"/>
      <c r="C27" s="27" t="n"/>
      <c r="D27" s="30">
        <f>IF(COUNTA(C6:C20)&gt;0, ROUND((D26/COUNTA(C6:C20))*100, 1), "-")</f>
        <v/>
      </c>
      <c r="E27" s="27" t="n"/>
      <c r="F27" s="27" t="n"/>
      <c r="G27" s="30">
        <f>IF(COUNTA(C6:C20)&gt;0, ROUND((G26/COUNTA(C6:C20))*100, 1), "-")</f>
        <v/>
      </c>
      <c r="H27" s="27" t="n"/>
      <c r="I27" s="27" t="n"/>
      <c r="J27" s="30">
        <f>IF(COUNTA(C6:C20)&gt;0, ROUND((J26/COUNTA(C6:C20))*100, 1), "-")</f>
        <v/>
      </c>
      <c r="K27" s="27" t="n"/>
      <c r="L27" s="27" t="n"/>
      <c r="M27" s="30">
        <f>IF(COUNTA(C6:C20)&gt;0, ROUND((M26/COUNTA(C6:C20))*100, 1), "-")</f>
        <v/>
      </c>
      <c r="N27" s="27" t="n"/>
      <c r="O27" s="27" t="n"/>
      <c r="P27" s="30">
        <f>IF(COUNTA(C6:C20)&gt;0, ROUND((P26/COUNTA(C6:C20))*100, 1), "-")</f>
        <v/>
      </c>
      <c r="Q27" s="27" t="n"/>
      <c r="R27" s="27" t="n"/>
      <c r="S27" s="30">
        <f>IF(COUNTA(C6:C20)&gt;0, ROUND((S26/COUNTA(C6:C20))*100, 1), "-")</f>
        <v/>
      </c>
      <c r="T27" s="27" t="n"/>
      <c r="U27" s="27" t="n"/>
      <c r="V27" s="33">
        <f>IF(COUNTA(C6:C20)&gt;0, ROUND((V26/COUNTA(C6:C20))*100, 1), "-")</f>
        <v/>
      </c>
      <c r="W27" s="31" t="n"/>
      <c r="X27" s="27" t="n"/>
      <c r="Y27" s="27" t="n"/>
      <c r="Z27" s="27" t="n"/>
    </row>
  </sheetData>
  <mergeCells count="51">
    <mergeCell ref="A25:C25"/>
    <mergeCell ref="J24:L24"/>
    <mergeCell ref="D27:F27"/>
    <mergeCell ref="P27:R27"/>
    <mergeCell ref="C4:C5"/>
    <mergeCell ref="S23:U23"/>
    <mergeCell ref="V4:V5"/>
    <mergeCell ref="J27:L27"/>
    <mergeCell ref="A27:C27"/>
    <mergeCell ref="J4:L4"/>
    <mergeCell ref="P23:R23"/>
    <mergeCell ref="M25:O25"/>
    <mergeCell ref="J26:L26"/>
    <mergeCell ref="A26:C26"/>
    <mergeCell ref="G24:I24"/>
    <mergeCell ref="J25:L25"/>
    <mergeCell ref="M27:O27"/>
    <mergeCell ref="A1:Z1"/>
    <mergeCell ref="A23:C23"/>
    <mergeCell ref="S24:U24"/>
    <mergeCell ref="D4:F4"/>
    <mergeCell ref="G4:I4"/>
    <mergeCell ref="G26:I26"/>
    <mergeCell ref="M26:O26"/>
    <mergeCell ref="D25:F25"/>
    <mergeCell ref="M24:O24"/>
    <mergeCell ref="D24:F24"/>
    <mergeCell ref="G25:I25"/>
    <mergeCell ref="M23:O23"/>
    <mergeCell ref="D23:F23"/>
    <mergeCell ref="P24:R24"/>
    <mergeCell ref="A4:A5"/>
    <mergeCell ref="X4:X5"/>
    <mergeCell ref="M4:O4"/>
    <mergeCell ref="S4:U4"/>
    <mergeCell ref="Z4:Z5"/>
    <mergeCell ref="J23:L23"/>
    <mergeCell ref="S26:U26"/>
    <mergeCell ref="D26:F26"/>
    <mergeCell ref="A2:Z2"/>
    <mergeCell ref="P4:R4"/>
    <mergeCell ref="S25:U25"/>
    <mergeCell ref="A24:C24"/>
    <mergeCell ref="P26:R26"/>
    <mergeCell ref="B4:B5"/>
    <mergeCell ref="P25:R25"/>
    <mergeCell ref="G27:I27"/>
    <mergeCell ref="S27:U27"/>
    <mergeCell ref="W4:W5"/>
    <mergeCell ref="Y4:Y5"/>
    <mergeCell ref="G23:I23"/>
  </mergeCells>
  <conditionalFormatting sqref="X6:X20">
    <cfRule type="cellIs" priority="1" operator="equal" dxfId="0">
      <formula>"PASS"</formula>
    </cfRule>
    <cfRule type="cellIs" priority="2" operator="equal" dxfId="1">
      <formula>"FAIL"</formula>
    </cfRule>
  </conditionalFormatting>
  <conditionalFormatting sqref="Y6:Y20">
    <cfRule type="cellIs" priority="3" operator="equal" dxfId="2">
      <formula>"A+"</formula>
    </cfRule>
  </conditionalFormatting>
  <dataValidations count="2">
    <dataValidation sqref="D6:D20 G6:G20 J6:J20 M6:M20 P6:P20 S6:S20" showDropDown="0" showInputMessage="0" showErrorMessage="0" allowBlank="1" type="whole" operator="between">
      <formula1>0</formula1>
      <formula2>80</formula2>
    </dataValidation>
    <dataValidation sqref="E6:E20 H6:H20 K6:K20 N6:N20 Q6:Q20 T6:T20" showDropDown="0" showInputMessage="0" showErrorMessage="0" allowBlank="1" type="whole" operator="between">
      <formula1>0</formula1>
      <formula2>20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7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24" customWidth="1" min="3" max="3"/>
    <col width="9" customWidth="1" min="4" max="4"/>
    <col width="9" customWidth="1" min="5" max="5"/>
    <col width="11" customWidth="1" min="6" max="6"/>
    <col width="9" customWidth="1" min="7" max="7"/>
    <col width="9" customWidth="1" min="8" max="8"/>
    <col width="11" customWidth="1" min="9" max="9"/>
    <col width="9" customWidth="1" min="10" max="10"/>
    <col width="9" customWidth="1" min="11" max="11"/>
    <col width="11" customWidth="1" min="12" max="12"/>
    <col width="9" customWidth="1" min="13" max="13"/>
    <col width="9" customWidth="1" min="14" max="14"/>
    <col width="11" customWidth="1" min="15" max="15"/>
    <col width="9" customWidth="1" min="16" max="16"/>
    <col width="9" customWidth="1" min="17" max="17"/>
    <col width="11" customWidth="1" min="18" max="18"/>
    <col width="9" customWidth="1" min="19" max="19"/>
    <col width="9" customWidth="1" min="20" max="20"/>
    <col width="11" customWidth="1" min="21" max="21"/>
    <col width="14" customWidth="1" min="22" max="22"/>
    <col width="13" customWidth="1" min="23" max="23"/>
    <col width="11" customWidth="1" min="24" max="24"/>
    <col width="9" customWidth="1" min="25" max="25"/>
    <col width="10" customWidth="1" min="26" max="26"/>
  </cols>
  <sheetData>
    <row r="1" ht="38" customHeight="1">
      <c r="A1" s="1" t="inlineStr">
        <is>
          <t>EVAL AI (ADEM) — GRADE 11 EXAMINATION MARK SHEET</t>
        </is>
      </c>
    </row>
    <row r="2" ht="22" customHeight="1">
      <c r="A2" s="2" t="inlineStr">
        <is>
          <t>Academic Year: 2025–2026  |  Class: Grade 11  |  Total Subjects: 6  |  Max Marks: 600  |  Pass: Min 35% in each subject</t>
        </is>
      </c>
    </row>
    <row r="3" ht="8" customHeight="1"/>
    <row r="4" ht="26" customHeight="1">
      <c r="A4" s="19" t="inlineStr">
        <is>
          <t>S.No</t>
        </is>
      </c>
      <c r="B4" s="19" t="inlineStr">
        <is>
          <t>Roll No</t>
        </is>
      </c>
      <c r="C4" s="19" t="inlineStr">
        <is>
          <t>Student Name</t>
        </is>
      </c>
      <c r="D4" s="20" t="inlineStr">
        <is>
          <t>BIOLOGY (100)</t>
        </is>
      </c>
      <c r="E4" s="21" t="n"/>
      <c r="F4" s="21" t="n"/>
      <c r="G4" s="20" t="inlineStr">
        <is>
          <t>BIOLOGY (100)</t>
        </is>
      </c>
      <c r="H4" s="21" t="n"/>
      <c r="I4" s="21" t="n"/>
      <c r="J4" s="20" t="inlineStr">
        <is>
          <t>CHEMISTRY (100)</t>
        </is>
      </c>
      <c r="K4" s="21" t="n"/>
      <c r="L4" s="21" t="n"/>
      <c r="M4" s="20" t="inlineStr">
        <is>
          <t>CHEMISTRY (100)</t>
        </is>
      </c>
      <c r="N4" s="21" t="n"/>
      <c r="O4" s="21" t="n"/>
      <c r="P4" s="20" t="inlineStr">
        <is>
          <t>MATHS (100)</t>
        </is>
      </c>
      <c r="Q4" s="21" t="n"/>
      <c r="R4" s="21" t="n"/>
      <c r="S4" s="20" t="inlineStr">
        <is>
          <t>PHYSICS (100)</t>
        </is>
      </c>
      <c r="T4" s="21" t="n"/>
      <c r="U4" s="21" t="n"/>
      <c r="V4" s="20" t="inlineStr">
        <is>
          <t>Grand Total
(600)</t>
        </is>
      </c>
      <c r="W4" s="20" t="inlineStr">
        <is>
          <t>Percentage
(%)</t>
        </is>
      </c>
      <c r="X4" s="20" t="inlineStr">
        <is>
          <t>Result</t>
        </is>
      </c>
      <c r="Y4" s="20" t="inlineStr">
        <is>
          <t>Grade</t>
        </is>
      </c>
      <c r="Z4" s="20" t="inlineStr">
        <is>
          <t>Class
Rank</t>
        </is>
      </c>
    </row>
    <row r="5" ht="28" customHeight="1">
      <c r="A5" s="21" t="n"/>
      <c r="B5" s="21" t="n"/>
      <c r="C5" s="21" t="n"/>
      <c r="D5" s="22" t="inlineStr">
        <is>
          <t>Theory
(80)</t>
        </is>
      </c>
      <c r="E5" s="22" t="inlineStr">
        <is>
          <t>Internal
(20)</t>
        </is>
      </c>
      <c r="F5" s="23" t="inlineStr">
        <is>
          <t>Total
(100)</t>
        </is>
      </c>
      <c r="G5" s="22" t="inlineStr">
        <is>
          <t>Theory
(80)</t>
        </is>
      </c>
      <c r="H5" s="22" t="inlineStr">
        <is>
          <t>Internal
(20)</t>
        </is>
      </c>
      <c r="I5" s="23" t="inlineStr">
        <is>
          <t>Total
(100)</t>
        </is>
      </c>
      <c r="J5" s="22" t="inlineStr">
        <is>
          <t>Theory
(80)</t>
        </is>
      </c>
      <c r="K5" s="22" t="inlineStr">
        <is>
          <t>Internal
(20)</t>
        </is>
      </c>
      <c r="L5" s="23" t="inlineStr">
        <is>
          <t>Total
(100)</t>
        </is>
      </c>
      <c r="M5" s="22" t="inlineStr">
        <is>
          <t>Theory
(80)</t>
        </is>
      </c>
      <c r="N5" s="22" t="inlineStr">
        <is>
          <t>Internal
(20)</t>
        </is>
      </c>
      <c r="O5" s="23" t="inlineStr">
        <is>
          <t>Total
(100)</t>
        </is>
      </c>
      <c r="P5" s="22" t="inlineStr">
        <is>
          <t>Theory
(80)</t>
        </is>
      </c>
      <c r="Q5" s="22" t="inlineStr">
        <is>
          <t>Internal
(20)</t>
        </is>
      </c>
      <c r="R5" s="23" t="inlineStr">
        <is>
          <t>Total
(100)</t>
        </is>
      </c>
      <c r="S5" s="22" t="inlineStr">
        <is>
          <t>Theory
(80)</t>
        </is>
      </c>
      <c r="T5" s="22" t="inlineStr">
        <is>
          <t>Internal
(20)</t>
        </is>
      </c>
      <c r="U5" s="23" t="inlineStr">
        <is>
          <t>Total
(100)</t>
        </is>
      </c>
      <c r="V5" s="21" t="n"/>
      <c r="W5" s="21" t="n"/>
      <c r="X5" s="21" t="n"/>
      <c r="Y5" s="21" t="n"/>
      <c r="Z5" s="21" t="n"/>
    </row>
    <row r="6">
      <c r="A6" s="5" t="inlineStr"/>
      <c r="B6" s="5" t="inlineStr"/>
      <c r="C6" s="6" t="inlineStr"/>
      <c r="D6" s="5" t="n"/>
      <c r="E6" s="5" t="n"/>
      <c r="F6" s="7">
        <f>IF(ISBLANK(C6), "", D6+E6)</f>
        <v/>
      </c>
      <c r="G6" s="5" t="n"/>
      <c r="H6" s="5" t="n"/>
      <c r="I6" s="7">
        <f>IF(ISBLANK(C6), "", G6+H6)</f>
        <v/>
      </c>
      <c r="J6" s="5" t="n"/>
      <c r="K6" s="5" t="n"/>
      <c r="L6" s="7">
        <f>IF(ISBLANK(C6), "", J6+K6)</f>
        <v/>
      </c>
      <c r="M6" s="5" t="n"/>
      <c r="N6" s="5" t="n"/>
      <c r="O6" s="7">
        <f>IF(ISBLANK(C6), "", M6+N6)</f>
        <v/>
      </c>
      <c r="P6" s="5" t="n"/>
      <c r="Q6" s="5" t="n"/>
      <c r="R6" s="7">
        <f>IF(ISBLANK(C6), "", P6+Q6)</f>
        <v/>
      </c>
      <c r="S6" s="5" t="n"/>
      <c r="T6" s="5" t="n"/>
      <c r="U6" s="7">
        <f>IF(ISBLANK(C6), "", S6+T6)</f>
        <v/>
      </c>
      <c r="V6" s="24">
        <f>IF(ISBLANK(C6), "", F6+I6+L6+O6+R6+U6)</f>
        <v/>
      </c>
      <c r="W6" s="10">
        <f>IF(OR(ISBLANK(C6), V6=""), "", ROUND((V6/600)*100, 1))</f>
        <v/>
      </c>
      <c r="X6" s="7">
        <f>IF(OR(ISBLANK(C6), V6=""), "", IF(AND(F6&gt;=35, I6&gt;=35, L6&gt;=35, O6&gt;=35, R6&gt;=35, U6&gt;=35), "PASS", "FAIL"))</f>
        <v/>
      </c>
      <c r="Y6" s="7">
        <f>IF(OR(ISBLANK(C6), X6=""), "", IF(X6="FAIL", "F", IF(W6&gt;=90, "A+", IF(W6&gt;=80, "A", IF(W6&gt;=70, "B", IF(W6&gt;=50, "C", "D"))))))</f>
        <v/>
      </c>
      <c r="Z6" s="7">
        <f>IF(OR(ISBLANK(C6), V6=""), "", RANK(V6, $V$6:$V$20))</f>
        <v/>
      </c>
    </row>
    <row r="7">
      <c r="A7" s="12" t="inlineStr"/>
      <c r="B7" s="12" t="inlineStr"/>
      <c r="C7" s="13" t="inlineStr"/>
      <c r="D7" s="12" t="n"/>
      <c r="E7" s="12" t="n"/>
      <c r="F7" s="14">
        <f>IF(ISBLANK(C7), "", D7+E7)</f>
        <v/>
      </c>
      <c r="G7" s="12" t="n"/>
      <c r="H7" s="12" t="n"/>
      <c r="I7" s="14">
        <f>IF(ISBLANK(C7), "", G7+H7)</f>
        <v/>
      </c>
      <c r="J7" s="12" t="n"/>
      <c r="K7" s="12" t="n"/>
      <c r="L7" s="14">
        <f>IF(ISBLANK(C7), "", J7+K7)</f>
        <v/>
      </c>
      <c r="M7" s="12" t="n"/>
      <c r="N7" s="12" t="n"/>
      <c r="O7" s="14">
        <f>IF(ISBLANK(C7), "", M7+N7)</f>
        <v/>
      </c>
      <c r="P7" s="12" t="n"/>
      <c r="Q7" s="12" t="n"/>
      <c r="R7" s="14">
        <f>IF(ISBLANK(C7), "", P7+Q7)</f>
        <v/>
      </c>
      <c r="S7" s="12" t="n"/>
      <c r="T7" s="12" t="n"/>
      <c r="U7" s="14">
        <f>IF(ISBLANK(C7), "", S7+T7)</f>
        <v/>
      </c>
      <c r="V7" s="25">
        <f>IF(ISBLANK(C7), "", F7+I7+L7+O7+R7+U7)</f>
        <v/>
      </c>
      <c r="W7" s="17">
        <f>IF(OR(ISBLANK(C7), V7=""), "", ROUND((V7/600)*100, 1))</f>
        <v/>
      </c>
      <c r="X7" s="14">
        <f>IF(OR(ISBLANK(C7), V7=""), "", IF(AND(F7&gt;=35, I7&gt;=35, L7&gt;=35, O7&gt;=35, R7&gt;=35, U7&gt;=35), "PASS", "FAIL"))</f>
        <v/>
      </c>
      <c r="Y7" s="14">
        <f>IF(OR(ISBLANK(C7), X7=""), "", IF(X7="FAIL", "F", IF(W7&gt;=90, "A+", IF(W7&gt;=80, "A", IF(W7&gt;=70, "B", IF(W7&gt;=50, "C", "D"))))))</f>
        <v/>
      </c>
      <c r="Z7" s="14">
        <f>IF(OR(ISBLANK(C7), V7=""), "", RANK(V7, $V$6:$V$20))</f>
        <v/>
      </c>
    </row>
    <row r="8">
      <c r="A8" s="5" t="inlineStr"/>
      <c r="B8" s="5" t="inlineStr"/>
      <c r="C8" s="6" t="inlineStr"/>
      <c r="D8" s="5" t="n"/>
      <c r="E8" s="5" t="n"/>
      <c r="F8" s="7">
        <f>IF(ISBLANK(C8), "", D8+E8)</f>
        <v/>
      </c>
      <c r="G8" s="5" t="n"/>
      <c r="H8" s="5" t="n"/>
      <c r="I8" s="7">
        <f>IF(ISBLANK(C8), "", G8+H8)</f>
        <v/>
      </c>
      <c r="J8" s="5" t="n"/>
      <c r="K8" s="5" t="n"/>
      <c r="L8" s="7">
        <f>IF(ISBLANK(C8), "", J8+K8)</f>
        <v/>
      </c>
      <c r="M8" s="5" t="n"/>
      <c r="N8" s="5" t="n"/>
      <c r="O8" s="7">
        <f>IF(ISBLANK(C8), "", M8+N8)</f>
        <v/>
      </c>
      <c r="P8" s="5" t="n"/>
      <c r="Q8" s="5" t="n"/>
      <c r="R8" s="7">
        <f>IF(ISBLANK(C8), "", P8+Q8)</f>
        <v/>
      </c>
      <c r="S8" s="5" t="n"/>
      <c r="T8" s="5" t="n"/>
      <c r="U8" s="7">
        <f>IF(ISBLANK(C8), "", S8+T8)</f>
        <v/>
      </c>
      <c r="V8" s="24">
        <f>IF(ISBLANK(C8), "", F8+I8+L8+O8+R8+U8)</f>
        <v/>
      </c>
      <c r="W8" s="10">
        <f>IF(OR(ISBLANK(C8), V8=""), "", ROUND((V8/600)*100, 1))</f>
        <v/>
      </c>
      <c r="X8" s="7">
        <f>IF(OR(ISBLANK(C8), V8=""), "", IF(AND(F8&gt;=35, I8&gt;=35, L8&gt;=35, O8&gt;=35, R8&gt;=35, U8&gt;=35), "PASS", "FAIL"))</f>
        <v/>
      </c>
      <c r="Y8" s="7">
        <f>IF(OR(ISBLANK(C8), X8=""), "", IF(X8="FAIL", "F", IF(W8&gt;=90, "A+", IF(W8&gt;=80, "A", IF(W8&gt;=70, "B", IF(W8&gt;=50, "C", "D"))))))</f>
        <v/>
      </c>
      <c r="Z8" s="7">
        <f>IF(OR(ISBLANK(C8), V8=""), "", RANK(V8, $V$6:$V$20))</f>
        <v/>
      </c>
    </row>
    <row r="9">
      <c r="A9" s="12" t="inlineStr"/>
      <c r="B9" s="12" t="inlineStr"/>
      <c r="C9" s="13" t="inlineStr"/>
      <c r="D9" s="12" t="n"/>
      <c r="E9" s="12" t="n"/>
      <c r="F9" s="14">
        <f>IF(ISBLANK(C9), "", D9+E9)</f>
        <v/>
      </c>
      <c r="G9" s="12" t="n"/>
      <c r="H9" s="12" t="n"/>
      <c r="I9" s="14">
        <f>IF(ISBLANK(C9), "", G9+H9)</f>
        <v/>
      </c>
      <c r="J9" s="12" t="n"/>
      <c r="K9" s="12" t="n"/>
      <c r="L9" s="14">
        <f>IF(ISBLANK(C9), "", J9+K9)</f>
        <v/>
      </c>
      <c r="M9" s="12" t="n"/>
      <c r="N9" s="12" t="n"/>
      <c r="O9" s="14">
        <f>IF(ISBLANK(C9), "", M9+N9)</f>
        <v/>
      </c>
      <c r="P9" s="12" t="n"/>
      <c r="Q9" s="12" t="n"/>
      <c r="R9" s="14">
        <f>IF(ISBLANK(C9), "", P9+Q9)</f>
        <v/>
      </c>
      <c r="S9" s="12" t="n"/>
      <c r="T9" s="12" t="n"/>
      <c r="U9" s="14">
        <f>IF(ISBLANK(C9), "", S9+T9)</f>
        <v/>
      </c>
      <c r="V9" s="25">
        <f>IF(ISBLANK(C9), "", F9+I9+L9+O9+R9+U9)</f>
        <v/>
      </c>
      <c r="W9" s="17">
        <f>IF(OR(ISBLANK(C9), V9=""), "", ROUND((V9/600)*100, 1))</f>
        <v/>
      </c>
      <c r="X9" s="14">
        <f>IF(OR(ISBLANK(C9), V9=""), "", IF(AND(F9&gt;=35, I9&gt;=35, L9&gt;=35, O9&gt;=35, R9&gt;=35, U9&gt;=35), "PASS", "FAIL"))</f>
        <v/>
      </c>
      <c r="Y9" s="14">
        <f>IF(OR(ISBLANK(C9), X9=""), "", IF(X9="FAIL", "F", IF(W9&gt;=90, "A+", IF(W9&gt;=80, "A", IF(W9&gt;=70, "B", IF(W9&gt;=50, "C", "D"))))))</f>
        <v/>
      </c>
      <c r="Z9" s="14">
        <f>IF(OR(ISBLANK(C9), V9=""), "", RANK(V9, $V$6:$V$20))</f>
        <v/>
      </c>
    </row>
    <row r="10">
      <c r="A10" s="5" t="inlineStr"/>
      <c r="B10" s="5" t="inlineStr"/>
      <c r="C10" s="6" t="inlineStr"/>
      <c r="D10" s="5" t="n"/>
      <c r="E10" s="5" t="n"/>
      <c r="F10" s="7">
        <f>IF(ISBLANK(C10), "", D10+E10)</f>
        <v/>
      </c>
      <c r="G10" s="5" t="n"/>
      <c r="H10" s="5" t="n"/>
      <c r="I10" s="7">
        <f>IF(ISBLANK(C10), "", G10+H10)</f>
        <v/>
      </c>
      <c r="J10" s="5" t="n"/>
      <c r="K10" s="5" t="n"/>
      <c r="L10" s="7">
        <f>IF(ISBLANK(C10), "", J10+K10)</f>
        <v/>
      </c>
      <c r="M10" s="5" t="n"/>
      <c r="N10" s="5" t="n"/>
      <c r="O10" s="7">
        <f>IF(ISBLANK(C10), "", M10+N10)</f>
        <v/>
      </c>
      <c r="P10" s="5" t="n"/>
      <c r="Q10" s="5" t="n"/>
      <c r="R10" s="7">
        <f>IF(ISBLANK(C10), "", P10+Q10)</f>
        <v/>
      </c>
      <c r="S10" s="5" t="n"/>
      <c r="T10" s="5" t="n"/>
      <c r="U10" s="7">
        <f>IF(ISBLANK(C10), "", S10+T10)</f>
        <v/>
      </c>
      <c r="V10" s="24">
        <f>IF(ISBLANK(C10), "", F10+I10+L10+O10+R10+U10)</f>
        <v/>
      </c>
      <c r="W10" s="10">
        <f>IF(OR(ISBLANK(C10), V10=""), "", ROUND((V10/600)*100, 1))</f>
        <v/>
      </c>
      <c r="X10" s="7">
        <f>IF(OR(ISBLANK(C10), V10=""), "", IF(AND(F10&gt;=35, I10&gt;=35, L10&gt;=35, O10&gt;=35, R10&gt;=35, U10&gt;=35), "PASS", "FAIL"))</f>
        <v/>
      </c>
      <c r="Y10" s="7">
        <f>IF(OR(ISBLANK(C10), X10=""), "", IF(X10="FAIL", "F", IF(W10&gt;=90, "A+", IF(W10&gt;=80, "A", IF(W10&gt;=70, "B", IF(W10&gt;=50, "C", "D"))))))</f>
        <v/>
      </c>
      <c r="Z10" s="7">
        <f>IF(OR(ISBLANK(C10), V10=""), "", RANK(V10, $V$6:$V$20))</f>
        <v/>
      </c>
    </row>
    <row r="11">
      <c r="A11" s="12" t="inlineStr"/>
      <c r="B11" s="12" t="inlineStr"/>
      <c r="C11" s="13" t="inlineStr"/>
      <c r="D11" s="12" t="n"/>
      <c r="E11" s="12" t="n"/>
      <c r="F11" s="14">
        <f>IF(ISBLANK(C11), "", D11+E11)</f>
        <v/>
      </c>
      <c r="G11" s="12" t="n"/>
      <c r="H11" s="12" t="n"/>
      <c r="I11" s="14">
        <f>IF(ISBLANK(C11), "", G11+H11)</f>
        <v/>
      </c>
      <c r="J11" s="12" t="n"/>
      <c r="K11" s="12" t="n"/>
      <c r="L11" s="14">
        <f>IF(ISBLANK(C11), "", J11+K11)</f>
        <v/>
      </c>
      <c r="M11" s="12" t="n"/>
      <c r="N11" s="12" t="n"/>
      <c r="O11" s="14">
        <f>IF(ISBLANK(C11), "", M11+N11)</f>
        <v/>
      </c>
      <c r="P11" s="12" t="n"/>
      <c r="Q11" s="12" t="n"/>
      <c r="R11" s="14">
        <f>IF(ISBLANK(C11), "", P11+Q11)</f>
        <v/>
      </c>
      <c r="S11" s="12" t="n"/>
      <c r="T11" s="12" t="n"/>
      <c r="U11" s="14">
        <f>IF(ISBLANK(C11), "", S11+T11)</f>
        <v/>
      </c>
      <c r="V11" s="25">
        <f>IF(ISBLANK(C11), "", F11+I11+L11+O11+R11+U11)</f>
        <v/>
      </c>
      <c r="W11" s="17">
        <f>IF(OR(ISBLANK(C11), V11=""), "", ROUND((V11/600)*100, 1))</f>
        <v/>
      </c>
      <c r="X11" s="14">
        <f>IF(OR(ISBLANK(C11), V11=""), "", IF(AND(F11&gt;=35, I11&gt;=35, L11&gt;=35, O11&gt;=35, R11&gt;=35, U11&gt;=35), "PASS", "FAIL"))</f>
        <v/>
      </c>
      <c r="Y11" s="14">
        <f>IF(OR(ISBLANK(C11), X11=""), "", IF(X11="FAIL", "F", IF(W11&gt;=90, "A+", IF(W11&gt;=80, "A", IF(W11&gt;=70, "B", IF(W11&gt;=50, "C", "D"))))))</f>
        <v/>
      </c>
      <c r="Z11" s="14">
        <f>IF(OR(ISBLANK(C11), V11=""), "", RANK(V11, $V$6:$V$20))</f>
        <v/>
      </c>
    </row>
    <row r="12">
      <c r="A12" s="5" t="inlineStr"/>
      <c r="B12" s="5" t="inlineStr"/>
      <c r="C12" s="6" t="inlineStr"/>
      <c r="D12" s="5" t="n"/>
      <c r="E12" s="5" t="n"/>
      <c r="F12" s="7">
        <f>IF(ISBLANK(C12), "", D12+E12)</f>
        <v/>
      </c>
      <c r="G12" s="5" t="n"/>
      <c r="H12" s="5" t="n"/>
      <c r="I12" s="7">
        <f>IF(ISBLANK(C12), "", G12+H12)</f>
        <v/>
      </c>
      <c r="J12" s="5" t="n"/>
      <c r="K12" s="5" t="n"/>
      <c r="L12" s="7">
        <f>IF(ISBLANK(C12), "", J12+K12)</f>
        <v/>
      </c>
      <c r="M12" s="5" t="n"/>
      <c r="N12" s="5" t="n"/>
      <c r="O12" s="7">
        <f>IF(ISBLANK(C12), "", M12+N12)</f>
        <v/>
      </c>
      <c r="P12" s="5" t="n"/>
      <c r="Q12" s="5" t="n"/>
      <c r="R12" s="7">
        <f>IF(ISBLANK(C12), "", P12+Q12)</f>
        <v/>
      </c>
      <c r="S12" s="5" t="n"/>
      <c r="T12" s="5" t="n"/>
      <c r="U12" s="7">
        <f>IF(ISBLANK(C12), "", S12+T12)</f>
        <v/>
      </c>
      <c r="V12" s="24">
        <f>IF(ISBLANK(C12), "", F12+I12+L12+O12+R12+U12)</f>
        <v/>
      </c>
      <c r="W12" s="10">
        <f>IF(OR(ISBLANK(C12), V12=""), "", ROUND((V12/600)*100, 1))</f>
        <v/>
      </c>
      <c r="X12" s="7">
        <f>IF(OR(ISBLANK(C12), V12=""), "", IF(AND(F12&gt;=35, I12&gt;=35, L12&gt;=35, O12&gt;=35, R12&gt;=35, U12&gt;=35), "PASS", "FAIL"))</f>
        <v/>
      </c>
      <c r="Y12" s="7">
        <f>IF(OR(ISBLANK(C12), X12=""), "", IF(X12="FAIL", "F", IF(W12&gt;=90, "A+", IF(W12&gt;=80, "A", IF(W12&gt;=70, "B", IF(W12&gt;=50, "C", "D"))))))</f>
        <v/>
      </c>
      <c r="Z12" s="7">
        <f>IF(OR(ISBLANK(C12), V12=""), "", RANK(V12, $V$6:$V$20))</f>
        <v/>
      </c>
    </row>
    <row r="13">
      <c r="A13" s="12" t="inlineStr"/>
      <c r="B13" s="12" t="inlineStr"/>
      <c r="C13" s="13" t="inlineStr"/>
      <c r="D13" s="12" t="n"/>
      <c r="E13" s="12" t="n"/>
      <c r="F13" s="14">
        <f>IF(ISBLANK(C13), "", D13+E13)</f>
        <v/>
      </c>
      <c r="G13" s="12" t="n"/>
      <c r="H13" s="12" t="n"/>
      <c r="I13" s="14">
        <f>IF(ISBLANK(C13), "", G13+H13)</f>
        <v/>
      </c>
      <c r="J13" s="12" t="n"/>
      <c r="K13" s="12" t="n"/>
      <c r="L13" s="14">
        <f>IF(ISBLANK(C13), "", J13+K13)</f>
        <v/>
      </c>
      <c r="M13" s="12" t="n"/>
      <c r="N13" s="12" t="n"/>
      <c r="O13" s="14">
        <f>IF(ISBLANK(C13), "", M13+N13)</f>
        <v/>
      </c>
      <c r="P13" s="12" t="n"/>
      <c r="Q13" s="12" t="n"/>
      <c r="R13" s="14">
        <f>IF(ISBLANK(C13), "", P13+Q13)</f>
        <v/>
      </c>
      <c r="S13" s="12" t="n"/>
      <c r="T13" s="12" t="n"/>
      <c r="U13" s="14">
        <f>IF(ISBLANK(C13), "", S13+T13)</f>
        <v/>
      </c>
      <c r="V13" s="25">
        <f>IF(ISBLANK(C13), "", F13+I13+L13+O13+R13+U13)</f>
        <v/>
      </c>
      <c r="W13" s="17">
        <f>IF(OR(ISBLANK(C13), V13=""), "", ROUND((V13/600)*100, 1))</f>
        <v/>
      </c>
      <c r="X13" s="14">
        <f>IF(OR(ISBLANK(C13), V13=""), "", IF(AND(F13&gt;=35, I13&gt;=35, L13&gt;=35, O13&gt;=35, R13&gt;=35, U13&gt;=35), "PASS", "FAIL"))</f>
        <v/>
      </c>
      <c r="Y13" s="14">
        <f>IF(OR(ISBLANK(C13), X13=""), "", IF(X13="FAIL", "F", IF(W13&gt;=90, "A+", IF(W13&gt;=80, "A", IF(W13&gt;=70, "B", IF(W13&gt;=50, "C", "D"))))))</f>
        <v/>
      </c>
      <c r="Z13" s="14">
        <f>IF(OR(ISBLANK(C13), V13=""), "", RANK(V13, $V$6:$V$20))</f>
        <v/>
      </c>
    </row>
    <row r="14">
      <c r="A14" s="5" t="inlineStr"/>
      <c r="B14" s="5" t="inlineStr"/>
      <c r="C14" s="6" t="inlineStr"/>
      <c r="D14" s="5" t="n"/>
      <c r="E14" s="5" t="n"/>
      <c r="F14" s="7">
        <f>IF(ISBLANK(C14), "", D14+E14)</f>
        <v/>
      </c>
      <c r="G14" s="5" t="n"/>
      <c r="H14" s="5" t="n"/>
      <c r="I14" s="7">
        <f>IF(ISBLANK(C14), "", G14+H14)</f>
        <v/>
      </c>
      <c r="J14" s="5" t="n"/>
      <c r="K14" s="5" t="n"/>
      <c r="L14" s="7">
        <f>IF(ISBLANK(C14), "", J14+K14)</f>
        <v/>
      </c>
      <c r="M14" s="5" t="n"/>
      <c r="N14" s="5" t="n"/>
      <c r="O14" s="7">
        <f>IF(ISBLANK(C14), "", M14+N14)</f>
        <v/>
      </c>
      <c r="P14" s="5" t="n"/>
      <c r="Q14" s="5" t="n"/>
      <c r="R14" s="7">
        <f>IF(ISBLANK(C14), "", P14+Q14)</f>
        <v/>
      </c>
      <c r="S14" s="5" t="n"/>
      <c r="T14" s="5" t="n"/>
      <c r="U14" s="7">
        <f>IF(ISBLANK(C14), "", S14+T14)</f>
        <v/>
      </c>
      <c r="V14" s="24">
        <f>IF(ISBLANK(C14), "", F14+I14+L14+O14+R14+U14)</f>
        <v/>
      </c>
      <c r="W14" s="10">
        <f>IF(OR(ISBLANK(C14), V14=""), "", ROUND((V14/600)*100, 1))</f>
        <v/>
      </c>
      <c r="X14" s="7">
        <f>IF(OR(ISBLANK(C14), V14=""), "", IF(AND(F14&gt;=35, I14&gt;=35, L14&gt;=35, O14&gt;=35, R14&gt;=35, U14&gt;=35), "PASS", "FAIL"))</f>
        <v/>
      </c>
      <c r="Y14" s="7">
        <f>IF(OR(ISBLANK(C14), X14=""), "", IF(X14="FAIL", "F", IF(W14&gt;=90, "A+", IF(W14&gt;=80, "A", IF(W14&gt;=70, "B", IF(W14&gt;=50, "C", "D"))))))</f>
        <v/>
      </c>
      <c r="Z14" s="7">
        <f>IF(OR(ISBLANK(C14), V14=""), "", RANK(V14, $V$6:$V$20))</f>
        <v/>
      </c>
    </row>
    <row r="15">
      <c r="A15" s="12" t="inlineStr"/>
      <c r="B15" s="12" t="inlineStr"/>
      <c r="C15" s="13" t="inlineStr"/>
      <c r="D15" s="12" t="n"/>
      <c r="E15" s="12" t="n"/>
      <c r="F15" s="14">
        <f>IF(ISBLANK(C15), "", D15+E15)</f>
        <v/>
      </c>
      <c r="G15" s="12" t="n"/>
      <c r="H15" s="12" t="n"/>
      <c r="I15" s="14">
        <f>IF(ISBLANK(C15), "", G15+H15)</f>
        <v/>
      </c>
      <c r="J15" s="12" t="n"/>
      <c r="K15" s="12" t="n"/>
      <c r="L15" s="14">
        <f>IF(ISBLANK(C15), "", J15+K15)</f>
        <v/>
      </c>
      <c r="M15" s="12" t="n"/>
      <c r="N15" s="12" t="n"/>
      <c r="O15" s="14">
        <f>IF(ISBLANK(C15), "", M15+N15)</f>
        <v/>
      </c>
      <c r="P15" s="12" t="n"/>
      <c r="Q15" s="12" t="n"/>
      <c r="R15" s="14">
        <f>IF(ISBLANK(C15), "", P15+Q15)</f>
        <v/>
      </c>
      <c r="S15" s="12" t="n"/>
      <c r="T15" s="12" t="n"/>
      <c r="U15" s="14">
        <f>IF(ISBLANK(C15), "", S15+T15)</f>
        <v/>
      </c>
      <c r="V15" s="25">
        <f>IF(ISBLANK(C15), "", F15+I15+L15+O15+R15+U15)</f>
        <v/>
      </c>
      <c r="W15" s="17">
        <f>IF(OR(ISBLANK(C15), V15=""), "", ROUND((V15/600)*100, 1))</f>
        <v/>
      </c>
      <c r="X15" s="14">
        <f>IF(OR(ISBLANK(C15), V15=""), "", IF(AND(F15&gt;=35, I15&gt;=35, L15&gt;=35, O15&gt;=35, R15&gt;=35, U15&gt;=35), "PASS", "FAIL"))</f>
        <v/>
      </c>
      <c r="Y15" s="14">
        <f>IF(OR(ISBLANK(C15), X15=""), "", IF(X15="FAIL", "F", IF(W15&gt;=90, "A+", IF(W15&gt;=80, "A", IF(W15&gt;=70, "B", IF(W15&gt;=50, "C", "D"))))))</f>
        <v/>
      </c>
      <c r="Z15" s="14">
        <f>IF(OR(ISBLANK(C15), V15=""), "", RANK(V15, $V$6:$V$20))</f>
        <v/>
      </c>
    </row>
    <row r="16">
      <c r="A16" s="5" t="inlineStr"/>
      <c r="B16" s="5" t="inlineStr"/>
      <c r="C16" s="6" t="inlineStr"/>
      <c r="D16" s="5" t="n"/>
      <c r="E16" s="5" t="n"/>
      <c r="F16" s="7">
        <f>IF(ISBLANK(C16), "", D16+E16)</f>
        <v/>
      </c>
      <c r="G16" s="5" t="n"/>
      <c r="H16" s="5" t="n"/>
      <c r="I16" s="7">
        <f>IF(ISBLANK(C16), "", G16+H16)</f>
        <v/>
      </c>
      <c r="J16" s="5" t="n"/>
      <c r="K16" s="5" t="n"/>
      <c r="L16" s="7">
        <f>IF(ISBLANK(C16), "", J16+K16)</f>
        <v/>
      </c>
      <c r="M16" s="5" t="n"/>
      <c r="N16" s="5" t="n"/>
      <c r="O16" s="7">
        <f>IF(ISBLANK(C16), "", M16+N16)</f>
        <v/>
      </c>
      <c r="P16" s="5" t="n"/>
      <c r="Q16" s="5" t="n"/>
      <c r="R16" s="7">
        <f>IF(ISBLANK(C16), "", P16+Q16)</f>
        <v/>
      </c>
      <c r="S16" s="5" t="n"/>
      <c r="T16" s="5" t="n"/>
      <c r="U16" s="7">
        <f>IF(ISBLANK(C16), "", S16+T16)</f>
        <v/>
      </c>
      <c r="V16" s="24">
        <f>IF(ISBLANK(C16), "", F16+I16+L16+O16+R16+U16)</f>
        <v/>
      </c>
      <c r="W16" s="10">
        <f>IF(OR(ISBLANK(C16), V16=""), "", ROUND((V16/600)*100, 1))</f>
        <v/>
      </c>
      <c r="X16" s="7">
        <f>IF(OR(ISBLANK(C16), V16=""), "", IF(AND(F16&gt;=35, I16&gt;=35, L16&gt;=35, O16&gt;=35, R16&gt;=35, U16&gt;=35), "PASS", "FAIL"))</f>
        <v/>
      </c>
      <c r="Y16" s="7">
        <f>IF(OR(ISBLANK(C16), X16=""), "", IF(X16="FAIL", "F", IF(W16&gt;=90, "A+", IF(W16&gt;=80, "A", IF(W16&gt;=70, "B", IF(W16&gt;=50, "C", "D"))))))</f>
        <v/>
      </c>
      <c r="Z16" s="7">
        <f>IF(OR(ISBLANK(C16), V16=""), "", RANK(V16, $V$6:$V$20))</f>
        <v/>
      </c>
    </row>
    <row r="17">
      <c r="A17" s="12" t="inlineStr"/>
      <c r="B17" s="12" t="inlineStr"/>
      <c r="C17" s="13" t="inlineStr"/>
      <c r="D17" s="12" t="n"/>
      <c r="E17" s="12" t="n"/>
      <c r="F17" s="14">
        <f>IF(ISBLANK(C17), "", D17+E17)</f>
        <v/>
      </c>
      <c r="G17" s="12" t="n"/>
      <c r="H17" s="12" t="n"/>
      <c r="I17" s="14">
        <f>IF(ISBLANK(C17), "", G17+H17)</f>
        <v/>
      </c>
      <c r="J17" s="12" t="n"/>
      <c r="K17" s="12" t="n"/>
      <c r="L17" s="14">
        <f>IF(ISBLANK(C17), "", J17+K17)</f>
        <v/>
      </c>
      <c r="M17" s="12" t="n"/>
      <c r="N17" s="12" t="n"/>
      <c r="O17" s="14">
        <f>IF(ISBLANK(C17), "", M17+N17)</f>
        <v/>
      </c>
      <c r="P17" s="12" t="n"/>
      <c r="Q17" s="12" t="n"/>
      <c r="R17" s="14">
        <f>IF(ISBLANK(C17), "", P17+Q17)</f>
        <v/>
      </c>
      <c r="S17" s="12" t="n"/>
      <c r="T17" s="12" t="n"/>
      <c r="U17" s="14">
        <f>IF(ISBLANK(C17), "", S17+T17)</f>
        <v/>
      </c>
      <c r="V17" s="25">
        <f>IF(ISBLANK(C17), "", F17+I17+L17+O17+R17+U17)</f>
        <v/>
      </c>
      <c r="W17" s="17">
        <f>IF(OR(ISBLANK(C17), V17=""), "", ROUND((V17/600)*100, 1))</f>
        <v/>
      </c>
      <c r="X17" s="14">
        <f>IF(OR(ISBLANK(C17), V17=""), "", IF(AND(F17&gt;=35, I17&gt;=35, L17&gt;=35, O17&gt;=35, R17&gt;=35, U17&gt;=35), "PASS", "FAIL"))</f>
        <v/>
      </c>
      <c r="Y17" s="14">
        <f>IF(OR(ISBLANK(C17), X17=""), "", IF(X17="FAIL", "F", IF(W17&gt;=90, "A+", IF(W17&gt;=80, "A", IF(W17&gt;=70, "B", IF(W17&gt;=50, "C", "D"))))))</f>
        <v/>
      </c>
      <c r="Z17" s="14">
        <f>IF(OR(ISBLANK(C17), V17=""), "", RANK(V17, $V$6:$V$20))</f>
        <v/>
      </c>
    </row>
    <row r="18">
      <c r="A18" s="5" t="inlineStr"/>
      <c r="B18" s="5" t="inlineStr"/>
      <c r="C18" s="6" t="inlineStr"/>
      <c r="D18" s="5" t="n"/>
      <c r="E18" s="5" t="n"/>
      <c r="F18" s="7">
        <f>IF(ISBLANK(C18), "", D18+E18)</f>
        <v/>
      </c>
      <c r="G18" s="5" t="n"/>
      <c r="H18" s="5" t="n"/>
      <c r="I18" s="7">
        <f>IF(ISBLANK(C18), "", G18+H18)</f>
        <v/>
      </c>
      <c r="J18" s="5" t="n"/>
      <c r="K18" s="5" t="n"/>
      <c r="L18" s="7">
        <f>IF(ISBLANK(C18), "", J18+K18)</f>
        <v/>
      </c>
      <c r="M18" s="5" t="n"/>
      <c r="N18" s="5" t="n"/>
      <c r="O18" s="7">
        <f>IF(ISBLANK(C18), "", M18+N18)</f>
        <v/>
      </c>
      <c r="P18" s="5" t="n"/>
      <c r="Q18" s="5" t="n"/>
      <c r="R18" s="7">
        <f>IF(ISBLANK(C18), "", P18+Q18)</f>
        <v/>
      </c>
      <c r="S18" s="5" t="n"/>
      <c r="T18" s="5" t="n"/>
      <c r="U18" s="7">
        <f>IF(ISBLANK(C18), "", S18+T18)</f>
        <v/>
      </c>
      <c r="V18" s="24">
        <f>IF(ISBLANK(C18), "", F18+I18+L18+O18+R18+U18)</f>
        <v/>
      </c>
      <c r="W18" s="10">
        <f>IF(OR(ISBLANK(C18), V18=""), "", ROUND((V18/600)*100, 1))</f>
        <v/>
      </c>
      <c r="X18" s="7">
        <f>IF(OR(ISBLANK(C18), V18=""), "", IF(AND(F18&gt;=35, I18&gt;=35, L18&gt;=35, O18&gt;=35, R18&gt;=35, U18&gt;=35), "PASS", "FAIL"))</f>
        <v/>
      </c>
      <c r="Y18" s="7">
        <f>IF(OR(ISBLANK(C18), X18=""), "", IF(X18="FAIL", "F", IF(W18&gt;=90, "A+", IF(W18&gt;=80, "A", IF(W18&gt;=70, "B", IF(W18&gt;=50, "C", "D"))))))</f>
        <v/>
      </c>
      <c r="Z18" s="7">
        <f>IF(OR(ISBLANK(C18), V18=""), "", RANK(V18, $V$6:$V$20))</f>
        <v/>
      </c>
    </row>
    <row r="19">
      <c r="A19" s="12" t="inlineStr"/>
      <c r="B19" s="12" t="inlineStr"/>
      <c r="C19" s="13" t="inlineStr"/>
      <c r="D19" s="12" t="n"/>
      <c r="E19" s="12" t="n"/>
      <c r="F19" s="14">
        <f>IF(ISBLANK(C19), "", D19+E19)</f>
        <v/>
      </c>
      <c r="G19" s="12" t="n"/>
      <c r="H19" s="12" t="n"/>
      <c r="I19" s="14">
        <f>IF(ISBLANK(C19), "", G19+H19)</f>
        <v/>
      </c>
      <c r="J19" s="12" t="n"/>
      <c r="K19" s="12" t="n"/>
      <c r="L19" s="14">
        <f>IF(ISBLANK(C19), "", J19+K19)</f>
        <v/>
      </c>
      <c r="M19" s="12" t="n"/>
      <c r="N19" s="12" t="n"/>
      <c r="O19" s="14">
        <f>IF(ISBLANK(C19), "", M19+N19)</f>
        <v/>
      </c>
      <c r="P19" s="12" t="n"/>
      <c r="Q19" s="12" t="n"/>
      <c r="R19" s="14">
        <f>IF(ISBLANK(C19), "", P19+Q19)</f>
        <v/>
      </c>
      <c r="S19" s="12" t="n"/>
      <c r="T19" s="12" t="n"/>
      <c r="U19" s="14">
        <f>IF(ISBLANK(C19), "", S19+T19)</f>
        <v/>
      </c>
      <c r="V19" s="25">
        <f>IF(ISBLANK(C19), "", F19+I19+L19+O19+R19+U19)</f>
        <v/>
      </c>
      <c r="W19" s="17">
        <f>IF(OR(ISBLANK(C19), V19=""), "", ROUND((V19/600)*100, 1))</f>
        <v/>
      </c>
      <c r="X19" s="14">
        <f>IF(OR(ISBLANK(C19), V19=""), "", IF(AND(F19&gt;=35, I19&gt;=35, L19&gt;=35, O19&gt;=35, R19&gt;=35, U19&gt;=35), "PASS", "FAIL"))</f>
        <v/>
      </c>
      <c r="Y19" s="14">
        <f>IF(OR(ISBLANK(C19), X19=""), "", IF(X19="FAIL", "F", IF(W19&gt;=90, "A+", IF(W19&gt;=80, "A", IF(W19&gt;=70, "B", IF(W19&gt;=50, "C", "D"))))))</f>
        <v/>
      </c>
      <c r="Z19" s="14">
        <f>IF(OR(ISBLANK(C19), V19=""), "", RANK(V19, $V$6:$V$20))</f>
        <v/>
      </c>
    </row>
    <row r="20">
      <c r="A20" s="5" t="inlineStr"/>
      <c r="B20" s="5" t="inlineStr"/>
      <c r="C20" s="6" t="inlineStr"/>
      <c r="D20" s="5" t="n"/>
      <c r="E20" s="5" t="n"/>
      <c r="F20" s="7">
        <f>IF(ISBLANK(C20), "", D20+E20)</f>
        <v/>
      </c>
      <c r="G20" s="5" t="n"/>
      <c r="H20" s="5" t="n"/>
      <c r="I20" s="7">
        <f>IF(ISBLANK(C20), "", G20+H20)</f>
        <v/>
      </c>
      <c r="J20" s="5" t="n"/>
      <c r="K20" s="5" t="n"/>
      <c r="L20" s="7">
        <f>IF(ISBLANK(C20), "", J20+K20)</f>
        <v/>
      </c>
      <c r="M20" s="5" t="n"/>
      <c r="N20" s="5" t="n"/>
      <c r="O20" s="7">
        <f>IF(ISBLANK(C20), "", M20+N20)</f>
        <v/>
      </c>
      <c r="P20" s="5" t="n"/>
      <c r="Q20" s="5" t="n"/>
      <c r="R20" s="7">
        <f>IF(ISBLANK(C20), "", P20+Q20)</f>
        <v/>
      </c>
      <c r="S20" s="5" t="n"/>
      <c r="T20" s="5" t="n"/>
      <c r="U20" s="7">
        <f>IF(ISBLANK(C20), "", S20+T20)</f>
        <v/>
      </c>
      <c r="V20" s="24">
        <f>IF(ISBLANK(C20), "", F20+I20+L20+O20+R20+U20)</f>
        <v/>
      </c>
      <c r="W20" s="10">
        <f>IF(OR(ISBLANK(C20), V20=""), "", ROUND((V20/600)*100, 1))</f>
        <v/>
      </c>
      <c r="X20" s="7">
        <f>IF(OR(ISBLANK(C20), V20=""), "", IF(AND(F20&gt;=35, I20&gt;=35, L20&gt;=35, O20&gt;=35, R20&gt;=35, U20&gt;=35), "PASS", "FAIL"))</f>
        <v/>
      </c>
      <c r="Y20" s="7">
        <f>IF(OR(ISBLANK(C20), X20=""), "", IF(X20="FAIL", "F", IF(W20&gt;=90, "A+", IF(W20&gt;=80, "A", IF(W20&gt;=70, "B", IF(W20&gt;=50, "C", "D"))))))</f>
        <v/>
      </c>
      <c r="Z20" s="7">
        <f>IF(OR(ISBLANK(C20), V20=""), "", RANK(V20, $V$6:$V$20))</f>
        <v/>
      </c>
    </row>
    <row r="22">
      <c r="A22" t="inlineStr"/>
    </row>
    <row r="23">
      <c r="A23" s="26" t="inlineStr">
        <is>
          <t>CLASS AVERAGE</t>
        </is>
      </c>
      <c r="B23" s="27" t="n"/>
      <c r="C23" s="27" t="n"/>
      <c r="D23" s="28">
        <f>IF(COUNTA(C6:C20)&gt;0, ROUND(AVERAGE(F6:F20), 1), "-")</f>
        <v/>
      </c>
      <c r="E23" s="27" t="n"/>
      <c r="F23" s="27" t="n"/>
      <c r="G23" s="28">
        <f>IF(COUNTA(C6:C20)&gt;0, ROUND(AVERAGE(I6:I20), 1), "-")</f>
        <v/>
      </c>
      <c r="H23" s="27" t="n"/>
      <c r="I23" s="27" t="n"/>
      <c r="J23" s="28">
        <f>IF(COUNTA(C6:C20)&gt;0, ROUND(AVERAGE(L6:L20), 1), "-")</f>
        <v/>
      </c>
      <c r="K23" s="27" t="n"/>
      <c r="L23" s="27" t="n"/>
      <c r="M23" s="28">
        <f>IF(COUNTA(C6:C20)&gt;0, ROUND(AVERAGE(O6:O20), 1), "-")</f>
        <v/>
      </c>
      <c r="N23" s="27" t="n"/>
      <c r="O23" s="27" t="n"/>
      <c r="P23" s="28">
        <f>IF(COUNTA(C6:C20)&gt;0, ROUND(AVERAGE(R6:R20), 1), "-")</f>
        <v/>
      </c>
      <c r="Q23" s="27" t="n"/>
      <c r="R23" s="27" t="n"/>
      <c r="S23" s="28">
        <f>IF(COUNTA(C6:C20)&gt;0, ROUND(AVERAGE(U6:U20), 1), "-")</f>
        <v/>
      </c>
      <c r="T23" s="27" t="n"/>
      <c r="U23" s="27" t="n"/>
      <c r="V23" s="29">
        <f>IF(COUNTA(C6:C20)&gt;0, ROUND(AVERAGE(V6:V20), 1), "-")</f>
        <v/>
      </c>
      <c r="W23" s="30">
        <f>IF(COUNTA(C6:C20)&gt;0, ROUND(AVERAGE(W6:W20), 1), "-")</f>
        <v/>
      </c>
      <c r="X23" s="27" t="n"/>
      <c r="Y23" s="27" t="n"/>
      <c r="Z23" s="27" t="n"/>
    </row>
    <row r="24">
      <c r="A24" s="26" t="inlineStr">
        <is>
          <t>HIGHEST MARKS</t>
        </is>
      </c>
      <c r="B24" s="27" t="n"/>
      <c r="C24" s="27" t="n"/>
      <c r="D24" s="31">
        <f>IF(COUNTA(C6:C20)&gt;0, MAX(F6:F20), "-")</f>
        <v/>
      </c>
      <c r="E24" s="27" t="n"/>
      <c r="F24" s="27" t="n"/>
      <c r="G24" s="31">
        <f>IF(COUNTA(C6:C20)&gt;0, MAX(I6:I20), "-")</f>
        <v/>
      </c>
      <c r="H24" s="27" t="n"/>
      <c r="I24" s="27" t="n"/>
      <c r="J24" s="31">
        <f>IF(COUNTA(C6:C20)&gt;0, MAX(L6:L20), "-")</f>
        <v/>
      </c>
      <c r="K24" s="27" t="n"/>
      <c r="L24" s="27" t="n"/>
      <c r="M24" s="31">
        <f>IF(COUNTA(C6:C20)&gt;0, MAX(O6:O20), "-")</f>
        <v/>
      </c>
      <c r="N24" s="27" t="n"/>
      <c r="O24" s="27" t="n"/>
      <c r="P24" s="31">
        <f>IF(COUNTA(C6:C20)&gt;0, MAX(R6:R20), "-")</f>
        <v/>
      </c>
      <c r="Q24" s="27" t="n"/>
      <c r="R24" s="27" t="n"/>
      <c r="S24" s="31">
        <f>IF(COUNTA(C6:C20)&gt;0, MAX(U6:U20), "-")</f>
        <v/>
      </c>
      <c r="T24" s="27" t="n"/>
      <c r="U24" s="27" t="n"/>
      <c r="V24" s="32">
        <f>IF(COUNTA(C6:C20)&gt;0, MAX(V6:V20), "-")</f>
        <v/>
      </c>
      <c r="W24" s="30">
        <f>IF(COUNTA(C6:C20)&gt;0, MAX(W6:W20), "-")</f>
        <v/>
      </c>
      <c r="X24" s="27" t="n"/>
      <c r="Y24" s="27" t="n"/>
      <c r="Z24" s="27" t="n"/>
    </row>
    <row r="25">
      <c r="A25" s="26" t="inlineStr">
        <is>
          <t>LOWEST MARKS</t>
        </is>
      </c>
      <c r="B25" s="27" t="n"/>
      <c r="C25" s="27" t="n"/>
      <c r="D25" s="31">
        <f>IF(COUNTA(C6:C20)&gt;0, MIN(F6:F20), "-")</f>
        <v/>
      </c>
      <c r="E25" s="27" t="n"/>
      <c r="F25" s="27" t="n"/>
      <c r="G25" s="31">
        <f>IF(COUNTA(C6:C20)&gt;0, MIN(I6:I20), "-")</f>
        <v/>
      </c>
      <c r="H25" s="27" t="n"/>
      <c r="I25" s="27" t="n"/>
      <c r="J25" s="31">
        <f>IF(COUNTA(C6:C20)&gt;0, MIN(L6:L20), "-")</f>
        <v/>
      </c>
      <c r="K25" s="27" t="n"/>
      <c r="L25" s="27" t="n"/>
      <c r="M25" s="31">
        <f>IF(COUNTA(C6:C20)&gt;0, MIN(O6:O20), "-")</f>
        <v/>
      </c>
      <c r="N25" s="27" t="n"/>
      <c r="O25" s="27" t="n"/>
      <c r="P25" s="31">
        <f>IF(COUNTA(C6:C20)&gt;0, MIN(R6:R20), "-")</f>
        <v/>
      </c>
      <c r="Q25" s="27" t="n"/>
      <c r="R25" s="27" t="n"/>
      <c r="S25" s="31">
        <f>IF(COUNTA(C6:C20)&gt;0, MIN(U6:U20), "-")</f>
        <v/>
      </c>
      <c r="T25" s="27" t="n"/>
      <c r="U25" s="27" t="n"/>
      <c r="V25" s="32">
        <f>IF(COUNTA(C6:C20)&gt;0, MIN(V6:V20), "-")</f>
        <v/>
      </c>
      <c r="W25" s="30">
        <f>IF(COUNTA(C6:C20)&gt;0, MIN(W6:W20), "-")</f>
        <v/>
      </c>
      <c r="X25" s="27" t="n"/>
      <c r="Y25" s="27" t="n"/>
      <c r="Z25" s="27" t="n"/>
    </row>
    <row r="26">
      <c r="A26" s="26" t="inlineStr">
        <is>
          <t>TOTAL PASSED</t>
        </is>
      </c>
      <c r="B26" s="27" t="n"/>
      <c r="C26" s="27" t="n"/>
      <c r="D26" s="31">
        <f>COUNTIF(F6:F20, "&gt;=35")</f>
        <v/>
      </c>
      <c r="E26" s="27" t="n"/>
      <c r="F26" s="27" t="n"/>
      <c r="G26" s="31">
        <f>COUNTIF(I6:I20, "&gt;=35")</f>
        <v/>
      </c>
      <c r="H26" s="27" t="n"/>
      <c r="I26" s="27" t="n"/>
      <c r="J26" s="31">
        <f>COUNTIF(L6:L20, "&gt;=35")</f>
        <v/>
      </c>
      <c r="K26" s="27" t="n"/>
      <c r="L26" s="27" t="n"/>
      <c r="M26" s="31">
        <f>COUNTIF(O6:O20, "&gt;=35")</f>
        <v/>
      </c>
      <c r="N26" s="27" t="n"/>
      <c r="O26" s="27" t="n"/>
      <c r="P26" s="31">
        <f>COUNTIF(R6:R20, "&gt;=35")</f>
        <v/>
      </c>
      <c r="Q26" s="27" t="n"/>
      <c r="R26" s="27" t="n"/>
      <c r="S26" s="31">
        <f>COUNTIF(U6:U20, "&gt;=35")</f>
        <v/>
      </c>
      <c r="T26" s="27" t="n"/>
      <c r="U26" s="27" t="n"/>
      <c r="V26" s="32">
        <f>COUNTIF(X6:X20, "PASS")</f>
        <v/>
      </c>
      <c r="W26" s="31" t="n"/>
      <c r="X26" s="27" t="n"/>
      <c r="Y26" s="27" t="n"/>
      <c r="Z26" s="27" t="n"/>
    </row>
    <row r="27">
      <c r="A27" s="26" t="inlineStr">
        <is>
          <t>PASS PERCENTAGE (%)</t>
        </is>
      </c>
      <c r="B27" s="27" t="n"/>
      <c r="C27" s="27" t="n"/>
      <c r="D27" s="30">
        <f>IF(COUNTA(C6:C20)&gt;0, ROUND((D26/COUNTA(C6:C20))*100, 1), "-")</f>
        <v/>
      </c>
      <c r="E27" s="27" t="n"/>
      <c r="F27" s="27" t="n"/>
      <c r="G27" s="30">
        <f>IF(COUNTA(C6:C20)&gt;0, ROUND((G26/COUNTA(C6:C20))*100, 1), "-")</f>
        <v/>
      </c>
      <c r="H27" s="27" t="n"/>
      <c r="I27" s="27" t="n"/>
      <c r="J27" s="30">
        <f>IF(COUNTA(C6:C20)&gt;0, ROUND((J26/COUNTA(C6:C20))*100, 1), "-")</f>
        <v/>
      </c>
      <c r="K27" s="27" t="n"/>
      <c r="L27" s="27" t="n"/>
      <c r="M27" s="30">
        <f>IF(COUNTA(C6:C20)&gt;0, ROUND((M26/COUNTA(C6:C20))*100, 1), "-")</f>
        <v/>
      </c>
      <c r="N27" s="27" t="n"/>
      <c r="O27" s="27" t="n"/>
      <c r="P27" s="30">
        <f>IF(COUNTA(C6:C20)&gt;0, ROUND((P26/COUNTA(C6:C20))*100, 1), "-")</f>
        <v/>
      </c>
      <c r="Q27" s="27" t="n"/>
      <c r="R27" s="27" t="n"/>
      <c r="S27" s="30">
        <f>IF(COUNTA(C6:C20)&gt;0, ROUND((S26/COUNTA(C6:C20))*100, 1), "-")</f>
        <v/>
      </c>
      <c r="T27" s="27" t="n"/>
      <c r="U27" s="27" t="n"/>
      <c r="V27" s="33">
        <f>IF(COUNTA(C6:C20)&gt;0, ROUND((V26/COUNTA(C6:C20))*100, 1), "-")</f>
        <v/>
      </c>
      <c r="W27" s="31" t="n"/>
      <c r="X27" s="27" t="n"/>
      <c r="Y27" s="27" t="n"/>
      <c r="Z27" s="27" t="n"/>
    </row>
  </sheetData>
  <mergeCells count="51">
    <mergeCell ref="A25:C25"/>
    <mergeCell ref="J24:L24"/>
    <mergeCell ref="D27:F27"/>
    <mergeCell ref="P27:R27"/>
    <mergeCell ref="C4:C5"/>
    <mergeCell ref="S23:U23"/>
    <mergeCell ref="V4:V5"/>
    <mergeCell ref="J27:L27"/>
    <mergeCell ref="A27:C27"/>
    <mergeCell ref="J4:L4"/>
    <mergeCell ref="P23:R23"/>
    <mergeCell ref="M25:O25"/>
    <mergeCell ref="J26:L26"/>
    <mergeCell ref="A26:C26"/>
    <mergeCell ref="G24:I24"/>
    <mergeCell ref="J25:L25"/>
    <mergeCell ref="M27:O27"/>
    <mergeCell ref="A1:Z1"/>
    <mergeCell ref="A23:C23"/>
    <mergeCell ref="S24:U24"/>
    <mergeCell ref="D4:F4"/>
    <mergeCell ref="G4:I4"/>
    <mergeCell ref="G26:I26"/>
    <mergeCell ref="M26:O26"/>
    <mergeCell ref="D25:F25"/>
    <mergeCell ref="M24:O24"/>
    <mergeCell ref="D24:F24"/>
    <mergeCell ref="G25:I25"/>
    <mergeCell ref="M23:O23"/>
    <mergeCell ref="D23:F23"/>
    <mergeCell ref="P24:R24"/>
    <mergeCell ref="A4:A5"/>
    <mergeCell ref="X4:X5"/>
    <mergeCell ref="M4:O4"/>
    <mergeCell ref="S4:U4"/>
    <mergeCell ref="Z4:Z5"/>
    <mergeCell ref="J23:L23"/>
    <mergeCell ref="S26:U26"/>
    <mergeCell ref="D26:F26"/>
    <mergeCell ref="A2:Z2"/>
    <mergeCell ref="P4:R4"/>
    <mergeCell ref="S25:U25"/>
    <mergeCell ref="A24:C24"/>
    <mergeCell ref="P26:R26"/>
    <mergeCell ref="B4:B5"/>
    <mergeCell ref="P25:R25"/>
    <mergeCell ref="G27:I27"/>
    <mergeCell ref="S27:U27"/>
    <mergeCell ref="W4:W5"/>
    <mergeCell ref="Y4:Y5"/>
    <mergeCell ref="G23:I23"/>
  </mergeCells>
  <conditionalFormatting sqref="X6:X20">
    <cfRule type="cellIs" priority="1" operator="equal" dxfId="0">
      <formula>"PASS"</formula>
    </cfRule>
    <cfRule type="cellIs" priority="2" operator="equal" dxfId="1">
      <formula>"FAIL"</formula>
    </cfRule>
  </conditionalFormatting>
  <conditionalFormatting sqref="Y6:Y20">
    <cfRule type="cellIs" priority="3" operator="equal" dxfId="2">
      <formula>"A+"</formula>
    </cfRule>
  </conditionalFormatting>
  <dataValidations count="2">
    <dataValidation sqref="D6:D20 G6:G20 J6:J20 M6:M20 P6:P20 S6:S20" showDropDown="0" showInputMessage="0" showErrorMessage="0" allowBlank="1" type="whole" operator="between">
      <formula1>0</formula1>
      <formula2>80</formula2>
    </dataValidation>
    <dataValidation sqref="E6:E20 H6:H20 K6:K20 N6:N20 Q6:Q20 T6:T20" showDropDown="0" showInputMessage="0" showErrorMessage="0" allowBlank="1" type="whole" operator="between">
      <formula1>0</formula1>
      <formula2>20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7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24" customWidth="1" min="3" max="3"/>
    <col width="9" customWidth="1" min="4" max="4"/>
    <col width="9" customWidth="1" min="5" max="5"/>
    <col width="11" customWidth="1" min="6" max="6"/>
    <col width="9" customWidth="1" min="7" max="7"/>
    <col width="9" customWidth="1" min="8" max="8"/>
    <col width="11" customWidth="1" min="9" max="9"/>
    <col width="9" customWidth="1" min="10" max="10"/>
    <col width="9" customWidth="1" min="11" max="11"/>
    <col width="11" customWidth="1" min="12" max="12"/>
    <col width="9" customWidth="1" min="13" max="13"/>
    <col width="9" customWidth="1" min="14" max="14"/>
    <col width="11" customWidth="1" min="15" max="15"/>
    <col width="9" customWidth="1" min="16" max="16"/>
    <col width="9" customWidth="1" min="17" max="17"/>
    <col width="11" customWidth="1" min="18" max="18"/>
    <col width="9" customWidth="1" min="19" max="19"/>
    <col width="9" customWidth="1" min="20" max="20"/>
    <col width="11" customWidth="1" min="21" max="21"/>
    <col width="14" customWidth="1" min="22" max="22"/>
    <col width="13" customWidth="1" min="23" max="23"/>
    <col width="11" customWidth="1" min="24" max="24"/>
    <col width="9" customWidth="1" min="25" max="25"/>
    <col width="10" customWidth="1" min="26" max="26"/>
  </cols>
  <sheetData>
    <row r="1" ht="38" customHeight="1">
      <c r="A1" s="1" t="inlineStr">
        <is>
          <t>EVAL AI (ADEM) — GRADE 11 EXAMINATION MARK SHEET</t>
        </is>
      </c>
    </row>
    <row r="2" ht="22" customHeight="1">
      <c r="A2" s="2" t="inlineStr">
        <is>
          <t>Academic Year: 2025–2026  |  Class: Grade 11  |  Total Subjects: 6  |  Max Marks: 600  |  Pass: Min 35% in each subject</t>
        </is>
      </c>
    </row>
    <row r="3" ht="8" customHeight="1"/>
    <row r="4" ht="26" customHeight="1">
      <c r="A4" s="19" t="inlineStr">
        <is>
          <t>S.No</t>
        </is>
      </c>
      <c r="B4" s="19" t="inlineStr">
        <is>
          <t>Roll No</t>
        </is>
      </c>
      <c r="C4" s="19" t="inlineStr">
        <is>
          <t>Student Name</t>
        </is>
      </c>
      <c r="D4" s="20" t="inlineStr">
        <is>
          <t>BIOLOGY (100)</t>
        </is>
      </c>
      <c r="E4" s="21" t="n"/>
      <c r="F4" s="21" t="n"/>
      <c r="G4" s="20" t="inlineStr">
        <is>
          <t>BIOLOGY (100)</t>
        </is>
      </c>
      <c r="H4" s="21" t="n"/>
      <c r="I4" s="21" t="n"/>
      <c r="J4" s="20" t="inlineStr">
        <is>
          <t>CHEMISTRY (100)</t>
        </is>
      </c>
      <c r="K4" s="21" t="n"/>
      <c r="L4" s="21" t="n"/>
      <c r="M4" s="20" t="inlineStr">
        <is>
          <t>CHEMISTRY (100)</t>
        </is>
      </c>
      <c r="N4" s="21" t="n"/>
      <c r="O4" s="21" t="n"/>
      <c r="P4" s="20" t="inlineStr">
        <is>
          <t>MATHS (100)</t>
        </is>
      </c>
      <c r="Q4" s="21" t="n"/>
      <c r="R4" s="21" t="n"/>
      <c r="S4" s="20" t="inlineStr">
        <is>
          <t>PHYSICS (100)</t>
        </is>
      </c>
      <c r="T4" s="21" t="n"/>
      <c r="U4" s="21" t="n"/>
      <c r="V4" s="20" t="inlineStr">
        <is>
          <t>Grand Total
(600)</t>
        </is>
      </c>
      <c r="W4" s="20" t="inlineStr">
        <is>
          <t>Percentage
(%)</t>
        </is>
      </c>
      <c r="X4" s="20" t="inlineStr">
        <is>
          <t>Result</t>
        </is>
      </c>
      <c r="Y4" s="20" t="inlineStr">
        <is>
          <t>Grade</t>
        </is>
      </c>
      <c r="Z4" s="20" t="inlineStr">
        <is>
          <t>Class
Rank</t>
        </is>
      </c>
    </row>
    <row r="5" ht="28" customHeight="1">
      <c r="A5" s="21" t="n"/>
      <c r="B5" s="21" t="n"/>
      <c r="C5" s="21" t="n"/>
      <c r="D5" s="22" t="inlineStr">
        <is>
          <t>Theory
(80)</t>
        </is>
      </c>
      <c r="E5" s="22" t="inlineStr">
        <is>
          <t>Internal
(20)</t>
        </is>
      </c>
      <c r="F5" s="23" t="inlineStr">
        <is>
          <t>Total
(100)</t>
        </is>
      </c>
      <c r="G5" s="22" t="inlineStr">
        <is>
          <t>Theory
(80)</t>
        </is>
      </c>
      <c r="H5" s="22" t="inlineStr">
        <is>
          <t>Internal
(20)</t>
        </is>
      </c>
      <c r="I5" s="23" t="inlineStr">
        <is>
          <t>Total
(100)</t>
        </is>
      </c>
      <c r="J5" s="22" t="inlineStr">
        <is>
          <t>Theory
(80)</t>
        </is>
      </c>
      <c r="K5" s="22" t="inlineStr">
        <is>
          <t>Internal
(20)</t>
        </is>
      </c>
      <c r="L5" s="23" t="inlineStr">
        <is>
          <t>Total
(100)</t>
        </is>
      </c>
      <c r="M5" s="22" t="inlineStr">
        <is>
          <t>Theory
(80)</t>
        </is>
      </c>
      <c r="N5" s="22" t="inlineStr">
        <is>
          <t>Internal
(20)</t>
        </is>
      </c>
      <c r="O5" s="23" t="inlineStr">
        <is>
          <t>Total
(100)</t>
        </is>
      </c>
      <c r="P5" s="22" t="inlineStr">
        <is>
          <t>Theory
(80)</t>
        </is>
      </c>
      <c r="Q5" s="22" t="inlineStr">
        <is>
          <t>Internal
(20)</t>
        </is>
      </c>
      <c r="R5" s="23" t="inlineStr">
        <is>
          <t>Total
(100)</t>
        </is>
      </c>
      <c r="S5" s="22" t="inlineStr">
        <is>
          <t>Theory
(80)</t>
        </is>
      </c>
      <c r="T5" s="22" t="inlineStr">
        <is>
          <t>Internal
(20)</t>
        </is>
      </c>
      <c r="U5" s="23" t="inlineStr">
        <is>
          <t>Total
(100)</t>
        </is>
      </c>
      <c r="V5" s="21" t="n"/>
      <c r="W5" s="21" t="n"/>
      <c r="X5" s="21" t="n"/>
      <c r="Y5" s="21" t="n"/>
      <c r="Z5" s="21" t="n"/>
    </row>
    <row r="6">
      <c r="A6" s="5" t="inlineStr"/>
      <c r="B6" s="5" t="inlineStr"/>
      <c r="C6" s="6" t="inlineStr"/>
      <c r="D6" s="5" t="n"/>
      <c r="E6" s="5" t="n"/>
      <c r="F6" s="7">
        <f>IF(ISBLANK(C6), "", D6+E6)</f>
        <v/>
      </c>
      <c r="G6" s="5" t="n"/>
      <c r="H6" s="5" t="n"/>
      <c r="I6" s="7">
        <f>IF(ISBLANK(C6), "", G6+H6)</f>
        <v/>
      </c>
      <c r="J6" s="5" t="n"/>
      <c r="K6" s="5" t="n"/>
      <c r="L6" s="7">
        <f>IF(ISBLANK(C6), "", J6+K6)</f>
        <v/>
      </c>
      <c r="M6" s="5" t="n"/>
      <c r="N6" s="5" t="n"/>
      <c r="O6" s="7">
        <f>IF(ISBLANK(C6), "", M6+N6)</f>
        <v/>
      </c>
      <c r="P6" s="5" t="n"/>
      <c r="Q6" s="5" t="n"/>
      <c r="R6" s="7">
        <f>IF(ISBLANK(C6), "", P6+Q6)</f>
        <v/>
      </c>
      <c r="S6" s="5" t="n"/>
      <c r="T6" s="5" t="n"/>
      <c r="U6" s="7">
        <f>IF(ISBLANK(C6), "", S6+T6)</f>
        <v/>
      </c>
      <c r="V6" s="24">
        <f>IF(ISBLANK(C6), "", F6+I6+L6+O6+R6+U6)</f>
        <v/>
      </c>
      <c r="W6" s="10">
        <f>IF(OR(ISBLANK(C6), V6=""), "", ROUND((V6/600)*100, 1))</f>
        <v/>
      </c>
      <c r="X6" s="7">
        <f>IF(OR(ISBLANK(C6), V6=""), "", IF(AND(F6&gt;=35, I6&gt;=35, L6&gt;=35, O6&gt;=35, R6&gt;=35, U6&gt;=35), "PASS", "FAIL"))</f>
        <v/>
      </c>
      <c r="Y6" s="7">
        <f>IF(OR(ISBLANK(C6), X6=""), "", IF(X6="FAIL", "F", IF(W6&gt;=90, "A+", IF(W6&gt;=80, "A", IF(W6&gt;=70, "B", IF(W6&gt;=50, "C", "D"))))))</f>
        <v/>
      </c>
      <c r="Z6" s="7">
        <f>IF(OR(ISBLANK(C6), V6=""), "", RANK(V6, $V$6:$V$20))</f>
        <v/>
      </c>
    </row>
    <row r="7">
      <c r="A7" s="12" t="inlineStr"/>
      <c r="B7" s="12" t="inlineStr"/>
      <c r="C7" s="13" t="inlineStr"/>
      <c r="D7" s="12" t="n"/>
      <c r="E7" s="12" t="n"/>
      <c r="F7" s="14">
        <f>IF(ISBLANK(C7), "", D7+E7)</f>
        <v/>
      </c>
      <c r="G7" s="12" t="n"/>
      <c r="H7" s="12" t="n"/>
      <c r="I7" s="14">
        <f>IF(ISBLANK(C7), "", G7+H7)</f>
        <v/>
      </c>
      <c r="J7" s="12" t="n"/>
      <c r="K7" s="12" t="n"/>
      <c r="L7" s="14">
        <f>IF(ISBLANK(C7), "", J7+K7)</f>
        <v/>
      </c>
      <c r="M7" s="12" t="n"/>
      <c r="N7" s="12" t="n"/>
      <c r="O7" s="14">
        <f>IF(ISBLANK(C7), "", M7+N7)</f>
        <v/>
      </c>
      <c r="P7" s="12" t="n"/>
      <c r="Q7" s="12" t="n"/>
      <c r="R7" s="14">
        <f>IF(ISBLANK(C7), "", P7+Q7)</f>
        <v/>
      </c>
      <c r="S7" s="12" t="n"/>
      <c r="T7" s="12" t="n"/>
      <c r="U7" s="14">
        <f>IF(ISBLANK(C7), "", S7+T7)</f>
        <v/>
      </c>
      <c r="V7" s="25">
        <f>IF(ISBLANK(C7), "", F7+I7+L7+O7+R7+U7)</f>
        <v/>
      </c>
      <c r="W7" s="17">
        <f>IF(OR(ISBLANK(C7), V7=""), "", ROUND((V7/600)*100, 1))</f>
        <v/>
      </c>
      <c r="X7" s="14">
        <f>IF(OR(ISBLANK(C7), V7=""), "", IF(AND(F7&gt;=35, I7&gt;=35, L7&gt;=35, O7&gt;=35, R7&gt;=35, U7&gt;=35), "PASS", "FAIL"))</f>
        <v/>
      </c>
      <c r="Y7" s="14">
        <f>IF(OR(ISBLANK(C7), X7=""), "", IF(X7="FAIL", "F", IF(W7&gt;=90, "A+", IF(W7&gt;=80, "A", IF(W7&gt;=70, "B", IF(W7&gt;=50, "C", "D"))))))</f>
        <v/>
      </c>
      <c r="Z7" s="14">
        <f>IF(OR(ISBLANK(C7), V7=""), "", RANK(V7, $V$6:$V$20))</f>
        <v/>
      </c>
    </row>
    <row r="8">
      <c r="A8" s="5" t="inlineStr"/>
      <c r="B8" s="5" t="inlineStr"/>
      <c r="C8" s="6" t="inlineStr"/>
      <c r="D8" s="5" t="n"/>
      <c r="E8" s="5" t="n"/>
      <c r="F8" s="7">
        <f>IF(ISBLANK(C8), "", D8+E8)</f>
        <v/>
      </c>
      <c r="G8" s="5" t="n"/>
      <c r="H8" s="5" t="n"/>
      <c r="I8" s="7">
        <f>IF(ISBLANK(C8), "", G8+H8)</f>
        <v/>
      </c>
      <c r="J8" s="5" t="n"/>
      <c r="K8" s="5" t="n"/>
      <c r="L8" s="7">
        <f>IF(ISBLANK(C8), "", J8+K8)</f>
        <v/>
      </c>
      <c r="M8" s="5" t="n"/>
      <c r="N8" s="5" t="n"/>
      <c r="O8" s="7">
        <f>IF(ISBLANK(C8), "", M8+N8)</f>
        <v/>
      </c>
      <c r="P8" s="5" t="n"/>
      <c r="Q8" s="5" t="n"/>
      <c r="R8" s="7">
        <f>IF(ISBLANK(C8), "", P8+Q8)</f>
        <v/>
      </c>
      <c r="S8" s="5" t="n"/>
      <c r="T8" s="5" t="n"/>
      <c r="U8" s="7">
        <f>IF(ISBLANK(C8), "", S8+T8)</f>
        <v/>
      </c>
      <c r="V8" s="24">
        <f>IF(ISBLANK(C8), "", F8+I8+L8+O8+R8+U8)</f>
        <v/>
      </c>
      <c r="W8" s="10">
        <f>IF(OR(ISBLANK(C8), V8=""), "", ROUND((V8/600)*100, 1))</f>
        <v/>
      </c>
      <c r="X8" s="7">
        <f>IF(OR(ISBLANK(C8), V8=""), "", IF(AND(F8&gt;=35, I8&gt;=35, L8&gt;=35, O8&gt;=35, R8&gt;=35, U8&gt;=35), "PASS", "FAIL"))</f>
        <v/>
      </c>
      <c r="Y8" s="7">
        <f>IF(OR(ISBLANK(C8), X8=""), "", IF(X8="FAIL", "F", IF(W8&gt;=90, "A+", IF(W8&gt;=80, "A", IF(W8&gt;=70, "B", IF(W8&gt;=50, "C", "D"))))))</f>
        <v/>
      </c>
      <c r="Z8" s="7">
        <f>IF(OR(ISBLANK(C8), V8=""), "", RANK(V8, $V$6:$V$20))</f>
        <v/>
      </c>
    </row>
    <row r="9">
      <c r="A9" s="12" t="inlineStr"/>
      <c r="B9" s="12" t="inlineStr"/>
      <c r="C9" s="13" t="inlineStr"/>
      <c r="D9" s="12" t="n"/>
      <c r="E9" s="12" t="n"/>
      <c r="F9" s="14">
        <f>IF(ISBLANK(C9), "", D9+E9)</f>
        <v/>
      </c>
      <c r="G9" s="12" t="n"/>
      <c r="H9" s="12" t="n"/>
      <c r="I9" s="14">
        <f>IF(ISBLANK(C9), "", G9+H9)</f>
        <v/>
      </c>
      <c r="J9" s="12" t="n"/>
      <c r="K9" s="12" t="n"/>
      <c r="L9" s="14">
        <f>IF(ISBLANK(C9), "", J9+K9)</f>
        <v/>
      </c>
      <c r="M9" s="12" t="n"/>
      <c r="N9" s="12" t="n"/>
      <c r="O9" s="14">
        <f>IF(ISBLANK(C9), "", M9+N9)</f>
        <v/>
      </c>
      <c r="P9" s="12" t="n"/>
      <c r="Q9" s="12" t="n"/>
      <c r="R9" s="14">
        <f>IF(ISBLANK(C9), "", P9+Q9)</f>
        <v/>
      </c>
      <c r="S9" s="12" t="n"/>
      <c r="T9" s="12" t="n"/>
      <c r="U9" s="14">
        <f>IF(ISBLANK(C9), "", S9+T9)</f>
        <v/>
      </c>
      <c r="V9" s="25">
        <f>IF(ISBLANK(C9), "", F9+I9+L9+O9+R9+U9)</f>
        <v/>
      </c>
      <c r="W9" s="17">
        <f>IF(OR(ISBLANK(C9), V9=""), "", ROUND((V9/600)*100, 1))</f>
        <v/>
      </c>
      <c r="X9" s="14">
        <f>IF(OR(ISBLANK(C9), V9=""), "", IF(AND(F9&gt;=35, I9&gt;=35, L9&gt;=35, O9&gt;=35, R9&gt;=35, U9&gt;=35), "PASS", "FAIL"))</f>
        <v/>
      </c>
      <c r="Y9" s="14">
        <f>IF(OR(ISBLANK(C9), X9=""), "", IF(X9="FAIL", "F", IF(W9&gt;=90, "A+", IF(W9&gt;=80, "A", IF(W9&gt;=70, "B", IF(W9&gt;=50, "C", "D"))))))</f>
        <v/>
      </c>
      <c r="Z9" s="14">
        <f>IF(OR(ISBLANK(C9), V9=""), "", RANK(V9, $V$6:$V$20))</f>
        <v/>
      </c>
    </row>
    <row r="10">
      <c r="A10" s="5" t="inlineStr"/>
      <c r="B10" s="5" t="inlineStr"/>
      <c r="C10" s="6" t="inlineStr"/>
      <c r="D10" s="5" t="n"/>
      <c r="E10" s="5" t="n"/>
      <c r="F10" s="7">
        <f>IF(ISBLANK(C10), "", D10+E10)</f>
        <v/>
      </c>
      <c r="G10" s="5" t="n"/>
      <c r="H10" s="5" t="n"/>
      <c r="I10" s="7">
        <f>IF(ISBLANK(C10), "", G10+H10)</f>
        <v/>
      </c>
      <c r="J10" s="5" t="n"/>
      <c r="K10" s="5" t="n"/>
      <c r="L10" s="7">
        <f>IF(ISBLANK(C10), "", J10+K10)</f>
        <v/>
      </c>
      <c r="M10" s="5" t="n"/>
      <c r="N10" s="5" t="n"/>
      <c r="O10" s="7">
        <f>IF(ISBLANK(C10), "", M10+N10)</f>
        <v/>
      </c>
      <c r="P10" s="5" t="n"/>
      <c r="Q10" s="5" t="n"/>
      <c r="R10" s="7">
        <f>IF(ISBLANK(C10), "", P10+Q10)</f>
        <v/>
      </c>
      <c r="S10" s="5" t="n"/>
      <c r="T10" s="5" t="n"/>
      <c r="U10" s="7">
        <f>IF(ISBLANK(C10), "", S10+T10)</f>
        <v/>
      </c>
      <c r="V10" s="24">
        <f>IF(ISBLANK(C10), "", F10+I10+L10+O10+R10+U10)</f>
        <v/>
      </c>
      <c r="W10" s="10">
        <f>IF(OR(ISBLANK(C10), V10=""), "", ROUND((V10/600)*100, 1))</f>
        <v/>
      </c>
      <c r="X10" s="7">
        <f>IF(OR(ISBLANK(C10), V10=""), "", IF(AND(F10&gt;=35, I10&gt;=35, L10&gt;=35, O10&gt;=35, R10&gt;=35, U10&gt;=35), "PASS", "FAIL"))</f>
        <v/>
      </c>
      <c r="Y10" s="7">
        <f>IF(OR(ISBLANK(C10), X10=""), "", IF(X10="FAIL", "F", IF(W10&gt;=90, "A+", IF(W10&gt;=80, "A", IF(W10&gt;=70, "B", IF(W10&gt;=50, "C", "D"))))))</f>
        <v/>
      </c>
      <c r="Z10" s="7">
        <f>IF(OR(ISBLANK(C10), V10=""), "", RANK(V10, $V$6:$V$20))</f>
        <v/>
      </c>
    </row>
    <row r="11">
      <c r="A11" s="12" t="inlineStr"/>
      <c r="B11" s="12" t="inlineStr"/>
      <c r="C11" s="13" t="inlineStr"/>
      <c r="D11" s="12" t="n"/>
      <c r="E11" s="12" t="n"/>
      <c r="F11" s="14">
        <f>IF(ISBLANK(C11), "", D11+E11)</f>
        <v/>
      </c>
      <c r="G11" s="12" t="n"/>
      <c r="H11" s="12" t="n"/>
      <c r="I11" s="14">
        <f>IF(ISBLANK(C11), "", G11+H11)</f>
        <v/>
      </c>
      <c r="J11" s="12" t="n"/>
      <c r="K11" s="12" t="n"/>
      <c r="L11" s="14">
        <f>IF(ISBLANK(C11), "", J11+K11)</f>
        <v/>
      </c>
      <c r="M11" s="12" t="n"/>
      <c r="N11" s="12" t="n"/>
      <c r="O11" s="14">
        <f>IF(ISBLANK(C11), "", M11+N11)</f>
        <v/>
      </c>
      <c r="P11" s="12" t="n"/>
      <c r="Q11" s="12" t="n"/>
      <c r="R11" s="14">
        <f>IF(ISBLANK(C11), "", P11+Q11)</f>
        <v/>
      </c>
      <c r="S11" s="12" t="n"/>
      <c r="T11" s="12" t="n"/>
      <c r="U11" s="14">
        <f>IF(ISBLANK(C11), "", S11+T11)</f>
        <v/>
      </c>
      <c r="V11" s="25">
        <f>IF(ISBLANK(C11), "", F11+I11+L11+O11+R11+U11)</f>
        <v/>
      </c>
      <c r="W11" s="17">
        <f>IF(OR(ISBLANK(C11), V11=""), "", ROUND((V11/600)*100, 1))</f>
        <v/>
      </c>
      <c r="X11" s="14">
        <f>IF(OR(ISBLANK(C11), V11=""), "", IF(AND(F11&gt;=35, I11&gt;=35, L11&gt;=35, O11&gt;=35, R11&gt;=35, U11&gt;=35), "PASS", "FAIL"))</f>
        <v/>
      </c>
      <c r="Y11" s="14">
        <f>IF(OR(ISBLANK(C11), X11=""), "", IF(X11="FAIL", "F", IF(W11&gt;=90, "A+", IF(W11&gt;=80, "A", IF(W11&gt;=70, "B", IF(W11&gt;=50, "C", "D"))))))</f>
        <v/>
      </c>
      <c r="Z11" s="14">
        <f>IF(OR(ISBLANK(C11), V11=""), "", RANK(V11, $V$6:$V$20))</f>
        <v/>
      </c>
    </row>
    <row r="12">
      <c r="A12" s="5" t="inlineStr"/>
      <c r="B12" s="5" t="inlineStr"/>
      <c r="C12" s="6" t="inlineStr"/>
      <c r="D12" s="5" t="n"/>
      <c r="E12" s="5" t="n"/>
      <c r="F12" s="7">
        <f>IF(ISBLANK(C12), "", D12+E12)</f>
        <v/>
      </c>
      <c r="G12" s="5" t="n"/>
      <c r="H12" s="5" t="n"/>
      <c r="I12" s="7">
        <f>IF(ISBLANK(C12), "", G12+H12)</f>
        <v/>
      </c>
      <c r="J12" s="5" t="n"/>
      <c r="K12" s="5" t="n"/>
      <c r="L12" s="7">
        <f>IF(ISBLANK(C12), "", J12+K12)</f>
        <v/>
      </c>
      <c r="M12" s="5" t="n"/>
      <c r="N12" s="5" t="n"/>
      <c r="O12" s="7">
        <f>IF(ISBLANK(C12), "", M12+N12)</f>
        <v/>
      </c>
      <c r="P12" s="5" t="n"/>
      <c r="Q12" s="5" t="n"/>
      <c r="R12" s="7">
        <f>IF(ISBLANK(C12), "", P12+Q12)</f>
        <v/>
      </c>
      <c r="S12" s="5" t="n"/>
      <c r="T12" s="5" t="n"/>
      <c r="U12" s="7">
        <f>IF(ISBLANK(C12), "", S12+T12)</f>
        <v/>
      </c>
      <c r="V12" s="24">
        <f>IF(ISBLANK(C12), "", F12+I12+L12+O12+R12+U12)</f>
        <v/>
      </c>
      <c r="W12" s="10">
        <f>IF(OR(ISBLANK(C12), V12=""), "", ROUND((V12/600)*100, 1))</f>
        <v/>
      </c>
      <c r="X12" s="7">
        <f>IF(OR(ISBLANK(C12), V12=""), "", IF(AND(F12&gt;=35, I12&gt;=35, L12&gt;=35, O12&gt;=35, R12&gt;=35, U12&gt;=35), "PASS", "FAIL"))</f>
        <v/>
      </c>
      <c r="Y12" s="7">
        <f>IF(OR(ISBLANK(C12), X12=""), "", IF(X12="FAIL", "F", IF(W12&gt;=90, "A+", IF(W12&gt;=80, "A", IF(W12&gt;=70, "B", IF(W12&gt;=50, "C", "D"))))))</f>
        <v/>
      </c>
      <c r="Z12" s="7">
        <f>IF(OR(ISBLANK(C12), V12=""), "", RANK(V12, $V$6:$V$20))</f>
        <v/>
      </c>
    </row>
    <row r="13">
      <c r="A13" s="12" t="inlineStr"/>
      <c r="B13" s="12" t="inlineStr"/>
      <c r="C13" s="13" t="inlineStr"/>
      <c r="D13" s="12" t="n"/>
      <c r="E13" s="12" t="n"/>
      <c r="F13" s="14">
        <f>IF(ISBLANK(C13), "", D13+E13)</f>
        <v/>
      </c>
      <c r="G13" s="12" t="n"/>
      <c r="H13" s="12" t="n"/>
      <c r="I13" s="14">
        <f>IF(ISBLANK(C13), "", G13+H13)</f>
        <v/>
      </c>
      <c r="J13" s="12" t="n"/>
      <c r="K13" s="12" t="n"/>
      <c r="L13" s="14">
        <f>IF(ISBLANK(C13), "", J13+K13)</f>
        <v/>
      </c>
      <c r="M13" s="12" t="n"/>
      <c r="N13" s="12" t="n"/>
      <c r="O13" s="14">
        <f>IF(ISBLANK(C13), "", M13+N13)</f>
        <v/>
      </c>
      <c r="P13" s="12" t="n"/>
      <c r="Q13" s="12" t="n"/>
      <c r="R13" s="14">
        <f>IF(ISBLANK(C13), "", P13+Q13)</f>
        <v/>
      </c>
      <c r="S13" s="12" t="n"/>
      <c r="T13" s="12" t="n"/>
      <c r="U13" s="14">
        <f>IF(ISBLANK(C13), "", S13+T13)</f>
        <v/>
      </c>
      <c r="V13" s="25">
        <f>IF(ISBLANK(C13), "", F13+I13+L13+O13+R13+U13)</f>
        <v/>
      </c>
      <c r="W13" s="17">
        <f>IF(OR(ISBLANK(C13), V13=""), "", ROUND((V13/600)*100, 1))</f>
        <v/>
      </c>
      <c r="X13" s="14">
        <f>IF(OR(ISBLANK(C13), V13=""), "", IF(AND(F13&gt;=35, I13&gt;=35, L13&gt;=35, O13&gt;=35, R13&gt;=35, U13&gt;=35), "PASS", "FAIL"))</f>
        <v/>
      </c>
      <c r="Y13" s="14">
        <f>IF(OR(ISBLANK(C13), X13=""), "", IF(X13="FAIL", "F", IF(W13&gt;=90, "A+", IF(W13&gt;=80, "A", IF(W13&gt;=70, "B", IF(W13&gt;=50, "C", "D"))))))</f>
        <v/>
      </c>
      <c r="Z13" s="14">
        <f>IF(OR(ISBLANK(C13), V13=""), "", RANK(V13, $V$6:$V$20))</f>
        <v/>
      </c>
    </row>
    <row r="14">
      <c r="A14" s="5" t="inlineStr"/>
      <c r="B14" s="5" t="inlineStr"/>
      <c r="C14" s="6" t="inlineStr"/>
      <c r="D14" s="5" t="n"/>
      <c r="E14" s="5" t="n"/>
      <c r="F14" s="7">
        <f>IF(ISBLANK(C14), "", D14+E14)</f>
        <v/>
      </c>
      <c r="G14" s="5" t="n"/>
      <c r="H14" s="5" t="n"/>
      <c r="I14" s="7">
        <f>IF(ISBLANK(C14), "", G14+H14)</f>
        <v/>
      </c>
      <c r="J14" s="5" t="n"/>
      <c r="K14" s="5" t="n"/>
      <c r="L14" s="7">
        <f>IF(ISBLANK(C14), "", J14+K14)</f>
        <v/>
      </c>
      <c r="M14" s="5" t="n"/>
      <c r="N14" s="5" t="n"/>
      <c r="O14" s="7">
        <f>IF(ISBLANK(C14), "", M14+N14)</f>
        <v/>
      </c>
      <c r="P14" s="5" t="n"/>
      <c r="Q14" s="5" t="n"/>
      <c r="R14" s="7">
        <f>IF(ISBLANK(C14), "", P14+Q14)</f>
        <v/>
      </c>
      <c r="S14" s="5" t="n"/>
      <c r="T14" s="5" t="n"/>
      <c r="U14" s="7">
        <f>IF(ISBLANK(C14), "", S14+T14)</f>
        <v/>
      </c>
      <c r="V14" s="24">
        <f>IF(ISBLANK(C14), "", F14+I14+L14+O14+R14+U14)</f>
        <v/>
      </c>
      <c r="W14" s="10">
        <f>IF(OR(ISBLANK(C14), V14=""), "", ROUND((V14/600)*100, 1))</f>
        <v/>
      </c>
      <c r="X14" s="7">
        <f>IF(OR(ISBLANK(C14), V14=""), "", IF(AND(F14&gt;=35, I14&gt;=35, L14&gt;=35, O14&gt;=35, R14&gt;=35, U14&gt;=35), "PASS", "FAIL"))</f>
        <v/>
      </c>
      <c r="Y14" s="7">
        <f>IF(OR(ISBLANK(C14), X14=""), "", IF(X14="FAIL", "F", IF(W14&gt;=90, "A+", IF(W14&gt;=80, "A", IF(W14&gt;=70, "B", IF(W14&gt;=50, "C", "D"))))))</f>
        <v/>
      </c>
      <c r="Z14" s="7">
        <f>IF(OR(ISBLANK(C14), V14=""), "", RANK(V14, $V$6:$V$20))</f>
        <v/>
      </c>
    </row>
    <row r="15">
      <c r="A15" s="12" t="inlineStr"/>
      <c r="B15" s="12" t="inlineStr"/>
      <c r="C15" s="13" t="inlineStr"/>
      <c r="D15" s="12" t="n"/>
      <c r="E15" s="12" t="n"/>
      <c r="F15" s="14">
        <f>IF(ISBLANK(C15), "", D15+E15)</f>
        <v/>
      </c>
      <c r="G15" s="12" t="n"/>
      <c r="H15" s="12" t="n"/>
      <c r="I15" s="14">
        <f>IF(ISBLANK(C15), "", G15+H15)</f>
        <v/>
      </c>
      <c r="J15" s="12" t="n"/>
      <c r="K15" s="12" t="n"/>
      <c r="L15" s="14">
        <f>IF(ISBLANK(C15), "", J15+K15)</f>
        <v/>
      </c>
      <c r="M15" s="12" t="n"/>
      <c r="N15" s="12" t="n"/>
      <c r="O15" s="14">
        <f>IF(ISBLANK(C15), "", M15+N15)</f>
        <v/>
      </c>
      <c r="P15" s="12" t="n"/>
      <c r="Q15" s="12" t="n"/>
      <c r="R15" s="14">
        <f>IF(ISBLANK(C15), "", P15+Q15)</f>
        <v/>
      </c>
      <c r="S15" s="12" t="n"/>
      <c r="T15" s="12" t="n"/>
      <c r="U15" s="14">
        <f>IF(ISBLANK(C15), "", S15+T15)</f>
        <v/>
      </c>
      <c r="V15" s="25">
        <f>IF(ISBLANK(C15), "", F15+I15+L15+O15+R15+U15)</f>
        <v/>
      </c>
      <c r="W15" s="17">
        <f>IF(OR(ISBLANK(C15), V15=""), "", ROUND((V15/600)*100, 1))</f>
        <v/>
      </c>
      <c r="X15" s="14">
        <f>IF(OR(ISBLANK(C15), V15=""), "", IF(AND(F15&gt;=35, I15&gt;=35, L15&gt;=35, O15&gt;=35, R15&gt;=35, U15&gt;=35), "PASS", "FAIL"))</f>
        <v/>
      </c>
      <c r="Y15" s="14">
        <f>IF(OR(ISBLANK(C15), X15=""), "", IF(X15="FAIL", "F", IF(W15&gt;=90, "A+", IF(W15&gt;=80, "A", IF(W15&gt;=70, "B", IF(W15&gt;=50, "C", "D"))))))</f>
        <v/>
      </c>
      <c r="Z15" s="14">
        <f>IF(OR(ISBLANK(C15), V15=""), "", RANK(V15, $V$6:$V$20))</f>
        <v/>
      </c>
    </row>
    <row r="16">
      <c r="A16" s="5" t="inlineStr"/>
      <c r="B16" s="5" t="inlineStr"/>
      <c r="C16" s="6" t="inlineStr"/>
      <c r="D16" s="5" t="n"/>
      <c r="E16" s="5" t="n"/>
      <c r="F16" s="7">
        <f>IF(ISBLANK(C16), "", D16+E16)</f>
        <v/>
      </c>
      <c r="G16" s="5" t="n"/>
      <c r="H16" s="5" t="n"/>
      <c r="I16" s="7">
        <f>IF(ISBLANK(C16), "", G16+H16)</f>
        <v/>
      </c>
      <c r="J16" s="5" t="n"/>
      <c r="K16" s="5" t="n"/>
      <c r="L16" s="7">
        <f>IF(ISBLANK(C16), "", J16+K16)</f>
        <v/>
      </c>
      <c r="M16" s="5" t="n"/>
      <c r="N16" s="5" t="n"/>
      <c r="O16" s="7">
        <f>IF(ISBLANK(C16), "", M16+N16)</f>
        <v/>
      </c>
      <c r="P16" s="5" t="n"/>
      <c r="Q16" s="5" t="n"/>
      <c r="R16" s="7">
        <f>IF(ISBLANK(C16), "", P16+Q16)</f>
        <v/>
      </c>
      <c r="S16" s="5" t="n"/>
      <c r="T16" s="5" t="n"/>
      <c r="U16" s="7">
        <f>IF(ISBLANK(C16), "", S16+T16)</f>
        <v/>
      </c>
      <c r="V16" s="24">
        <f>IF(ISBLANK(C16), "", F16+I16+L16+O16+R16+U16)</f>
        <v/>
      </c>
      <c r="W16" s="10">
        <f>IF(OR(ISBLANK(C16), V16=""), "", ROUND((V16/600)*100, 1))</f>
        <v/>
      </c>
      <c r="X16" s="7">
        <f>IF(OR(ISBLANK(C16), V16=""), "", IF(AND(F16&gt;=35, I16&gt;=35, L16&gt;=35, O16&gt;=35, R16&gt;=35, U16&gt;=35), "PASS", "FAIL"))</f>
        <v/>
      </c>
      <c r="Y16" s="7">
        <f>IF(OR(ISBLANK(C16), X16=""), "", IF(X16="FAIL", "F", IF(W16&gt;=90, "A+", IF(W16&gt;=80, "A", IF(W16&gt;=70, "B", IF(W16&gt;=50, "C", "D"))))))</f>
        <v/>
      </c>
      <c r="Z16" s="7">
        <f>IF(OR(ISBLANK(C16), V16=""), "", RANK(V16, $V$6:$V$20))</f>
        <v/>
      </c>
    </row>
    <row r="17">
      <c r="A17" s="12" t="inlineStr"/>
      <c r="B17" s="12" t="inlineStr"/>
      <c r="C17" s="13" t="inlineStr"/>
      <c r="D17" s="12" t="n"/>
      <c r="E17" s="12" t="n"/>
      <c r="F17" s="14">
        <f>IF(ISBLANK(C17), "", D17+E17)</f>
        <v/>
      </c>
      <c r="G17" s="12" t="n"/>
      <c r="H17" s="12" t="n"/>
      <c r="I17" s="14">
        <f>IF(ISBLANK(C17), "", G17+H17)</f>
        <v/>
      </c>
      <c r="J17" s="12" t="n"/>
      <c r="K17" s="12" t="n"/>
      <c r="L17" s="14">
        <f>IF(ISBLANK(C17), "", J17+K17)</f>
        <v/>
      </c>
      <c r="M17" s="12" t="n"/>
      <c r="N17" s="12" t="n"/>
      <c r="O17" s="14">
        <f>IF(ISBLANK(C17), "", M17+N17)</f>
        <v/>
      </c>
      <c r="P17" s="12" t="n"/>
      <c r="Q17" s="12" t="n"/>
      <c r="R17" s="14">
        <f>IF(ISBLANK(C17), "", P17+Q17)</f>
        <v/>
      </c>
      <c r="S17" s="12" t="n"/>
      <c r="T17" s="12" t="n"/>
      <c r="U17" s="14">
        <f>IF(ISBLANK(C17), "", S17+T17)</f>
        <v/>
      </c>
      <c r="V17" s="25">
        <f>IF(ISBLANK(C17), "", F17+I17+L17+O17+R17+U17)</f>
        <v/>
      </c>
      <c r="W17" s="17">
        <f>IF(OR(ISBLANK(C17), V17=""), "", ROUND((V17/600)*100, 1))</f>
        <v/>
      </c>
      <c r="X17" s="14">
        <f>IF(OR(ISBLANK(C17), V17=""), "", IF(AND(F17&gt;=35, I17&gt;=35, L17&gt;=35, O17&gt;=35, R17&gt;=35, U17&gt;=35), "PASS", "FAIL"))</f>
        <v/>
      </c>
      <c r="Y17" s="14">
        <f>IF(OR(ISBLANK(C17), X17=""), "", IF(X17="FAIL", "F", IF(W17&gt;=90, "A+", IF(W17&gt;=80, "A", IF(W17&gt;=70, "B", IF(W17&gt;=50, "C", "D"))))))</f>
        <v/>
      </c>
      <c r="Z17" s="14">
        <f>IF(OR(ISBLANK(C17), V17=""), "", RANK(V17, $V$6:$V$20))</f>
        <v/>
      </c>
    </row>
    <row r="18">
      <c r="A18" s="5" t="inlineStr"/>
      <c r="B18" s="5" t="inlineStr"/>
      <c r="C18" s="6" t="inlineStr"/>
      <c r="D18" s="5" t="n"/>
      <c r="E18" s="5" t="n"/>
      <c r="F18" s="7">
        <f>IF(ISBLANK(C18), "", D18+E18)</f>
        <v/>
      </c>
      <c r="G18" s="5" t="n"/>
      <c r="H18" s="5" t="n"/>
      <c r="I18" s="7">
        <f>IF(ISBLANK(C18), "", G18+H18)</f>
        <v/>
      </c>
      <c r="J18" s="5" t="n"/>
      <c r="K18" s="5" t="n"/>
      <c r="L18" s="7">
        <f>IF(ISBLANK(C18), "", J18+K18)</f>
        <v/>
      </c>
      <c r="M18" s="5" t="n"/>
      <c r="N18" s="5" t="n"/>
      <c r="O18" s="7">
        <f>IF(ISBLANK(C18), "", M18+N18)</f>
        <v/>
      </c>
      <c r="P18" s="5" t="n"/>
      <c r="Q18" s="5" t="n"/>
      <c r="R18" s="7">
        <f>IF(ISBLANK(C18), "", P18+Q18)</f>
        <v/>
      </c>
      <c r="S18" s="5" t="n"/>
      <c r="T18" s="5" t="n"/>
      <c r="U18" s="7">
        <f>IF(ISBLANK(C18), "", S18+T18)</f>
        <v/>
      </c>
      <c r="V18" s="24">
        <f>IF(ISBLANK(C18), "", F18+I18+L18+O18+R18+U18)</f>
        <v/>
      </c>
      <c r="W18" s="10">
        <f>IF(OR(ISBLANK(C18), V18=""), "", ROUND((V18/600)*100, 1))</f>
        <v/>
      </c>
      <c r="X18" s="7">
        <f>IF(OR(ISBLANK(C18), V18=""), "", IF(AND(F18&gt;=35, I18&gt;=35, L18&gt;=35, O18&gt;=35, R18&gt;=35, U18&gt;=35), "PASS", "FAIL"))</f>
        <v/>
      </c>
      <c r="Y18" s="7">
        <f>IF(OR(ISBLANK(C18), X18=""), "", IF(X18="FAIL", "F", IF(W18&gt;=90, "A+", IF(W18&gt;=80, "A", IF(W18&gt;=70, "B", IF(W18&gt;=50, "C", "D"))))))</f>
        <v/>
      </c>
      <c r="Z18" s="7">
        <f>IF(OR(ISBLANK(C18), V18=""), "", RANK(V18, $V$6:$V$20))</f>
        <v/>
      </c>
    </row>
    <row r="19">
      <c r="A19" s="12" t="inlineStr"/>
      <c r="B19" s="12" t="inlineStr"/>
      <c r="C19" s="13" t="inlineStr"/>
      <c r="D19" s="12" t="n"/>
      <c r="E19" s="12" t="n"/>
      <c r="F19" s="14">
        <f>IF(ISBLANK(C19), "", D19+E19)</f>
        <v/>
      </c>
      <c r="G19" s="12" t="n"/>
      <c r="H19" s="12" t="n"/>
      <c r="I19" s="14">
        <f>IF(ISBLANK(C19), "", G19+H19)</f>
        <v/>
      </c>
      <c r="J19" s="12" t="n"/>
      <c r="K19" s="12" t="n"/>
      <c r="L19" s="14">
        <f>IF(ISBLANK(C19), "", J19+K19)</f>
        <v/>
      </c>
      <c r="M19" s="12" t="n"/>
      <c r="N19" s="12" t="n"/>
      <c r="O19" s="14">
        <f>IF(ISBLANK(C19), "", M19+N19)</f>
        <v/>
      </c>
      <c r="P19" s="12" t="n"/>
      <c r="Q19" s="12" t="n"/>
      <c r="R19" s="14">
        <f>IF(ISBLANK(C19), "", P19+Q19)</f>
        <v/>
      </c>
      <c r="S19" s="12" t="n"/>
      <c r="T19" s="12" t="n"/>
      <c r="U19" s="14">
        <f>IF(ISBLANK(C19), "", S19+T19)</f>
        <v/>
      </c>
      <c r="V19" s="25">
        <f>IF(ISBLANK(C19), "", F19+I19+L19+O19+R19+U19)</f>
        <v/>
      </c>
      <c r="W19" s="17">
        <f>IF(OR(ISBLANK(C19), V19=""), "", ROUND((V19/600)*100, 1))</f>
        <v/>
      </c>
      <c r="X19" s="14">
        <f>IF(OR(ISBLANK(C19), V19=""), "", IF(AND(F19&gt;=35, I19&gt;=35, L19&gt;=35, O19&gt;=35, R19&gt;=35, U19&gt;=35), "PASS", "FAIL"))</f>
        <v/>
      </c>
      <c r="Y19" s="14">
        <f>IF(OR(ISBLANK(C19), X19=""), "", IF(X19="FAIL", "F", IF(W19&gt;=90, "A+", IF(W19&gt;=80, "A", IF(W19&gt;=70, "B", IF(W19&gt;=50, "C", "D"))))))</f>
        <v/>
      </c>
      <c r="Z19" s="14">
        <f>IF(OR(ISBLANK(C19), V19=""), "", RANK(V19, $V$6:$V$20))</f>
        <v/>
      </c>
    </row>
    <row r="20">
      <c r="A20" s="5" t="inlineStr"/>
      <c r="B20" s="5" t="inlineStr"/>
      <c r="C20" s="6" t="inlineStr"/>
      <c r="D20" s="5" t="n"/>
      <c r="E20" s="5" t="n"/>
      <c r="F20" s="7">
        <f>IF(ISBLANK(C20), "", D20+E20)</f>
        <v/>
      </c>
      <c r="G20" s="5" t="n"/>
      <c r="H20" s="5" t="n"/>
      <c r="I20" s="7">
        <f>IF(ISBLANK(C20), "", G20+H20)</f>
        <v/>
      </c>
      <c r="J20" s="5" t="n"/>
      <c r="K20" s="5" t="n"/>
      <c r="L20" s="7">
        <f>IF(ISBLANK(C20), "", J20+K20)</f>
        <v/>
      </c>
      <c r="M20" s="5" t="n"/>
      <c r="N20" s="5" t="n"/>
      <c r="O20" s="7">
        <f>IF(ISBLANK(C20), "", M20+N20)</f>
        <v/>
      </c>
      <c r="P20" s="5" t="n"/>
      <c r="Q20" s="5" t="n"/>
      <c r="R20" s="7">
        <f>IF(ISBLANK(C20), "", P20+Q20)</f>
        <v/>
      </c>
      <c r="S20" s="5" t="n"/>
      <c r="T20" s="5" t="n"/>
      <c r="U20" s="7">
        <f>IF(ISBLANK(C20), "", S20+T20)</f>
        <v/>
      </c>
      <c r="V20" s="24">
        <f>IF(ISBLANK(C20), "", F20+I20+L20+O20+R20+U20)</f>
        <v/>
      </c>
      <c r="W20" s="10">
        <f>IF(OR(ISBLANK(C20), V20=""), "", ROUND((V20/600)*100, 1))</f>
        <v/>
      </c>
      <c r="X20" s="7">
        <f>IF(OR(ISBLANK(C20), V20=""), "", IF(AND(F20&gt;=35, I20&gt;=35, L20&gt;=35, O20&gt;=35, R20&gt;=35, U20&gt;=35), "PASS", "FAIL"))</f>
        <v/>
      </c>
      <c r="Y20" s="7">
        <f>IF(OR(ISBLANK(C20), X20=""), "", IF(X20="FAIL", "F", IF(W20&gt;=90, "A+", IF(W20&gt;=80, "A", IF(W20&gt;=70, "B", IF(W20&gt;=50, "C", "D"))))))</f>
        <v/>
      </c>
      <c r="Z20" s="7">
        <f>IF(OR(ISBLANK(C20), V20=""), "", RANK(V20, $V$6:$V$20))</f>
        <v/>
      </c>
    </row>
    <row r="22">
      <c r="A22" t="inlineStr"/>
    </row>
    <row r="23">
      <c r="A23" s="26" t="inlineStr">
        <is>
          <t>CLASS AVERAGE</t>
        </is>
      </c>
      <c r="B23" s="27" t="n"/>
      <c r="C23" s="27" t="n"/>
      <c r="D23" s="28">
        <f>IF(COUNTA(C6:C20)&gt;0, ROUND(AVERAGE(F6:F20), 1), "-")</f>
        <v/>
      </c>
      <c r="E23" s="27" t="n"/>
      <c r="F23" s="27" t="n"/>
      <c r="G23" s="28">
        <f>IF(COUNTA(C6:C20)&gt;0, ROUND(AVERAGE(I6:I20), 1), "-")</f>
        <v/>
      </c>
      <c r="H23" s="27" t="n"/>
      <c r="I23" s="27" t="n"/>
      <c r="J23" s="28">
        <f>IF(COUNTA(C6:C20)&gt;0, ROUND(AVERAGE(L6:L20), 1), "-")</f>
        <v/>
      </c>
      <c r="K23" s="27" t="n"/>
      <c r="L23" s="27" t="n"/>
      <c r="M23" s="28">
        <f>IF(COUNTA(C6:C20)&gt;0, ROUND(AVERAGE(O6:O20), 1), "-")</f>
        <v/>
      </c>
      <c r="N23" s="27" t="n"/>
      <c r="O23" s="27" t="n"/>
      <c r="P23" s="28">
        <f>IF(COUNTA(C6:C20)&gt;0, ROUND(AVERAGE(R6:R20), 1), "-")</f>
        <v/>
      </c>
      <c r="Q23" s="27" t="n"/>
      <c r="R23" s="27" t="n"/>
      <c r="S23" s="28">
        <f>IF(COUNTA(C6:C20)&gt;0, ROUND(AVERAGE(U6:U20), 1), "-")</f>
        <v/>
      </c>
      <c r="T23" s="27" t="n"/>
      <c r="U23" s="27" t="n"/>
      <c r="V23" s="29">
        <f>IF(COUNTA(C6:C20)&gt;0, ROUND(AVERAGE(V6:V20), 1), "-")</f>
        <v/>
      </c>
      <c r="W23" s="30">
        <f>IF(COUNTA(C6:C20)&gt;0, ROUND(AVERAGE(W6:W20), 1), "-")</f>
        <v/>
      </c>
      <c r="X23" s="27" t="n"/>
      <c r="Y23" s="27" t="n"/>
      <c r="Z23" s="27" t="n"/>
    </row>
    <row r="24">
      <c r="A24" s="26" t="inlineStr">
        <is>
          <t>HIGHEST MARKS</t>
        </is>
      </c>
      <c r="B24" s="27" t="n"/>
      <c r="C24" s="27" t="n"/>
      <c r="D24" s="31">
        <f>IF(COUNTA(C6:C20)&gt;0, MAX(F6:F20), "-")</f>
        <v/>
      </c>
      <c r="E24" s="27" t="n"/>
      <c r="F24" s="27" t="n"/>
      <c r="G24" s="31">
        <f>IF(COUNTA(C6:C20)&gt;0, MAX(I6:I20), "-")</f>
        <v/>
      </c>
      <c r="H24" s="27" t="n"/>
      <c r="I24" s="27" t="n"/>
      <c r="J24" s="31">
        <f>IF(COUNTA(C6:C20)&gt;0, MAX(L6:L20), "-")</f>
        <v/>
      </c>
      <c r="K24" s="27" t="n"/>
      <c r="L24" s="27" t="n"/>
      <c r="M24" s="31">
        <f>IF(COUNTA(C6:C20)&gt;0, MAX(O6:O20), "-")</f>
        <v/>
      </c>
      <c r="N24" s="27" t="n"/>
      <c r="O24" s="27" t="n"/>
      <c r="P24" s="31">
        <f>IF(COUNTA(C6:C20)&gt;0, MAX(R6:R20), "-")</f>
        <v/>
      </c>
      <c r="Q24" s="27" t="n"/>
      <c r="R24" s="27" t="n"/>
      <c r="S24" s="31">
        <f>IF(COUNTA(C6:C20)&gt;0, MAX(U6:U20), "-")</f>
        <v/>
      </c>
      <c r="T24" s="27" t="n"/>
      <c r="U24" s="27" t="n"/>
      <c r="V24" s="32">
        <f>IF(COUNTA(C6:C20)&gt;0, MAX(V6:V20), "-")</f>
        <v/>
      </c>
      <c r="W24" s="30">
        <f>IF(COUNTA(C6:C20)&gt;0, MAX(W6:W20), "-")</f>
        <v/>
      </c>
      <c r="X24" s="27" t="n"/>
      <c r="Y24" s="27" t="n"/>
      <c r="Z24" s="27" t="n"/>
    </row>
    <row r="25">
      <c r="A25" s="26" t="inlineStr">
        <is>
          <t>LOWEST MARKS</t>
        </is>
      </c>
      <c r="B25" s="27" t="n"/>
      <c r="C25" s="27" t="n"/>
      <c r="D25" s="31">
        <f>IF(COUNTA(C6:C20)&gt;0, MIN(F6:F20), "-")</f>
        <v/>
      </c>
      <c r="E25" s="27" t="n"/>
      <c r="F25" s="27" t="n"/>
      <c r="G25" s="31">
        <f>IF(COUNTA(C6:C20)&gt;0, MIN(I6:I20), "-")</f>
        <v/>
      </c>
      <c r="H25" s="27" t="n"/>
      <c r="I25" s="27" t="n"/>
      <c r="J25" s="31">
        <f>IF(COUNTA(C6:C20)&gt;0, MIN(L6:L20), "-")</f>
        <v/>
      </c>
      <c r="K25" s="27" t="n"/>
      <c r="L25" s="27" t="n"/>
      <c r="M25" s="31">
        <f>IF(COUNTA(C6:C20)&gt;0, MIN(O6:O20), "-")</f>
        <v/>
      </c>
      <c r="N25" s="27" t="n"/>
      <c r="O25" s="27" t="n"/>
      <c r="P25" s="31">
        <f>IF(COUNTA(C6:C20)&gt;0, MIN(R6:R20), "-")</f>
        <v/>
      </c>
      <c r="Q25" s="27" t="n"/>
      <c r="R25" s="27" t="n"/>
      <c r="S25" s="31">
        <f>IF(COUNTA(C6:C20)&gt;0, MIN(U6:U20), "-")</f>
        <v/>
      </c>
      <c r="T25" s="27" t="n"/>
      <c r="U25" s="27" t="n"/>
      <c r="V25" s="32">
        <f>IF(COUNTA(C6:C20)&gt;0, MIN(V6:V20), "-")</f>
        <v/>
      </c>
      <c r="W25" s="30">
        <f>IF(COUNTA(C6:C20)&gt;0, MIN(W6:W20), "-")</f>
        <v/>
      </c>
      <c r="X25" s="27" t="n"/>
      <c r="Y25" s="27" t="n"/>
      <c r="Z25" s="27" t="n"/>
    </row>
    <row r="26">
      <c r="A26" s="26" t="inlineStr">
        <is>
          <t>TOTAL PASSED</t>
        </is>
      </c>
      <c r="B26" s="27" t="n"/>
      <c r="C26" s="27" t="n"/>
      <c r="D26" s="31">
        <f>COUNTIF(F6:F20, "&gt;=35")</f>
        <v/>
      </c>
      <c r="E26" s="27" t="n"/>
      <c r="F26" s="27" t="n"/>
      <c r="G26" s="31">
        <f>COUNTIF(I6:I20, "&gt;=35")</f>
        <v/>
      </c>
      <c r="H26" s="27" t="n"/>
      <c r="I26" s="27" t="n"/>
      <c r="J26" s="31">
        <f>COUNTIF(L6:L20, "&gt;=35")</f>
        <v/>
      </c>
      <c r="K26" s="27" t="n"/>
      <c r="L26" s="27" t="n"/>
      <c r="M26" s="31">
        <f>COUNTIF(O6:O20, "&gt;=35")</f>
        <v/>
      </c>
      <c r="N26" s="27" t="n"/>
      <c r="O26" s="27" t="n"/>
      <c r="P26" s="31">
        <f>COUNTIF(R6:R20, "&gt;=35")</f>
        <v/>
      </c>
      <c r="Q26" s="27" t="n"/>
      <c r="R26" s="27" t="n"/>
      <c r="S26" s="31">
        <f>COUNTIF(U6:U20, "&gt;=35")</f>
        <v/>
      </c>
      <c r="T26" s="27" t="n"/>
      <c r="U26" s="27" t="n"/>
      <c r="V26" s="32">
        <f>COUNTIF(X6:X20, "PASS")</f>
        <v/>
      </c>
      <c r="W26" s="31" t="n"/>
      <c r="X26" s="27" t="n"/>
      <c r="Y26" s="27" t="n"/>
      <c r="Z26" s="27" t="n"/>
    </row>
    <row r="27">
      <c r="A27" s="26" t="inlineStr">
        <is>
          <t>PASS PERCENTAGE (%)</t>
        </is>
      </c>
      <c r="B27" s="27" t="n"/>
      <c r="C27" s="27" t="n"/>
      <c r="D27" s="30">
        <f>IF(COUNTA(C6:C20)&gt;0, ROUND((D26/COUNTA(C6:C20))*100, 1), "-")</f>
        <v/>
      </c>
      <c r="E27" s="27" t="n"/>
      <c r="F27" s="27" t="n"/>
      <c r="G27" s="30">
        <f>IF(COUNTA(C6:C20)&gt;0, ROUND((G26/COUNTA(C6:C20))*100, 1), "-")</f>
        <v/>
      </c>
      <c r="H27" s="27" t="n"/>
      <c r="I27" s="27" t="n"/>
      <c r="J27" s="30">
        <f>IF(COUNTA(C6:C20)&gt;0, ROUND((J26/COUNTA(C6:C20))*100, 1), "-")</f>
        <v/>
      </c>
      <c r="K27" s="27" t="n"/>
      <c r="L27" s="27" t="n"/>
      <c r="M27" s="30">
        <f>IF(COUNTA(C6:C20)&gt;0, ROUND((M26/COUNTA(C6:C20))*100, 1), "-")</f>
        <v/>
      </c>
      <c r="N27" s="27" t="n"/>
      <c r="O27" s="27" t="n"/>
      <c r="P27" s="30">
        <f>IF(COUNTA(C6:C20)&gt;0, ROUND((P26/COUNTA(C6:C20))*100, 1), "-")</f>
        <v/>
      </c>
      <c r="Q27" s="27" t="n"/>
      <c r="R27" s="27" t="n"/>
      <c r="S27" s="30">
        <f>IF(COUNTA(C6:C20)&gt;0, ROUND((S26/COUNTA(C6:C20))*100, 1), "-")</f>
        <v/>
      </c>
      <c r="T27" s="27" t="n"/>
      <c r="U27" s="27" t="n"/>
      <c r="V27" s="33">
        <f>IF(COUNTA(C6:C20)&gt;0, ROUND((V26/COUNTA(C6:C20))*100, 1), "-")</f>
        <v/>
      </c>
      <c r="W27" s="31" t="n"/>
      <c r="X27" s="27" t="n"/>
      <c r="Y27" s="27" t="n"/>
      <c r="Z27" s="27" t="n"/>
    </row>
  </sheetData>
  <mergeCells count="51">
    <mergeCell ref="A25:C25"/>
    <mergeCell ref="J24:L24"/>
    <mergeCell ref="D27:F27"/>
    <mergeCell ref="P27:R27"/>
    <mergeCell ref="C4:C5"/>
    <mergeCell ref="S23:U23"/>
    <mergeCell ref="V4:V5"/>
    <mergeCell ref="J27:L27"/>
    <mergeCell ref="A27:C27"/>
    <mergeCell ref="J4:L4"/>
    <mergeCell ref="P23:R23"/>
    <mergeCell ref="M25:O25"/>
    <mergeCell ref="J26:L26"/>
    <mergeCell ref="A26:C26"/>
    <mergeCell ref="G24:I24"/>
    <mergeCell ref="J25:L25"/>
    <mergeCell ref="M27:O27"/>
    <mergeCell ref="A1:Z1"/>
    <mergeCell ref="A23:C23"/>
    <mergeCell ref="S24:U24"/>
    <mergeCell ref="D4:F4"/>
    <mergeCell ref="G4:I4"/>
    <mergeCell ref="G26:I26"/>
    <mergeCell ref="M26:O26"/>
    <mergeCell ref="D25:F25"/>
    <mergeCell ref="M24:O24"/>
    <mergeCell ref="D24:F24"/>
    <mergeCell ref="G25:I25"/>
    <mergeCell ref="M23:O23"/>
    <mergeCell ref="D23:F23"/>
    <mergeCell ref="P24:R24"/>
    <mergeCell ref="A4:A5"/>
    <mergeCell ref="X4:X5"/>
    <mergeCell ref="M4:O4"/>
    <mergeCell ref="S4:U4"/>
    <mergeCell ref="Z4:Z5"/>
    <mergeCell ref="J23:L23"/>
    <mergeCell ref="S26:U26"/>
    <mergeCell ref="D26:F26"/>
    <mergeCell ref="A2:Z2"/>
    <mergeCell ref="P4:R4"/>
    <mergeCell ref="S25:U25"/>
    <mergeCell ref="A24:C24"/>
    <mergeCell ref="P26:R26"/>
    <mergeCell ref="B4:B5"/>
    <mergeCell ref="P25:R25"/>
    <mergeCell ref="G27:I27"/>
    <mergeCell ref="S27:U27"/>
    <mergeCell ref="W4:W5"/>
    <mergeCell ref="Y4:Y5"/>
    <mergeCell ref="G23:I23"/>
  </mergeCells>
  <conditionalFormatting sqref="X6:X20">
    <cfRule type="cellIs" priority="1" operator="equal" dxfId="0">
      <formula>"PASS"</formula>
    </cfRule>
    <cfRule type="cellIs" priority="2" operator="equal" dxfId="1">
      <formula>"FAIL"</formula>
    </cfRule>
  </conditionalFormatting>
  <conditionalFormatting sqref="Y6:Y20">
    <cfRule type="cellIs" priority="3" operator="equal" dxfId="2">
      <formula>"A+"</formula>
    </cfRule>
  </conditionalFormatting>
  <dataValidations count="2">
    <dataValidation sqref="D6:D20 G6:G20 J6:J20 M6:M20 P6:P20 S6:S20" showDropDown="0" showInputMessage="0" showErrorMessage="0" allowBlank="1" type="whole" operator="between">
      <formula1>0</formula1>
      <formula2>80</formula2>
    </dataValidation>
    <dataValidation sqref="E6:E20 H6:H20 K6:K20 N6:N20 Q6:Q20 T6:T20" showDropDown="0" showInputMessage="0" showErrorMessage="0" allowBlank="1" type="whole" operator="between">
      <formula1>0</formula1>
      <formula2>20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7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24" customWidth="1" min="3" max="3"/>
    <col width="9" customWidth="1" min="4" max="4"/>
    <col width="9" customWidth="1" min="5" max="5"/>
    <col width="11" customWidth="1" min="6" max="6"/>
    <col width="9" customWidth="1" min="7" max="7"/>
    <col width="9" customWidth="1" min="8" max="8"/>
    <col width="11" customWidth="1" min="9" max="9"/>
    <col width="9" customWidth="1" min="10" max="10"/>
    <col width="9" customWidth="1" min="11" max="11"/>
    <col width="11" customWidth="1" min="12" max="12"/>
    <col width="9" customWidth="1" min="13" max="13"/>
    <col width="9" customWidth="1" min="14" max="14"/>
    <col width="11" customWidth="1" min="15" max="15"/>
    <col width="9" customWidth="1" min="16" max="16"/>
    <col width="9" customWidth="1" min="17" max="17"/>
    <col width="11" customWidth="1" min="18" max="18"/>
    <col width="9" customWidth="1" min="19" max="19"/>
    <col width="9" customWidth="1" min="20" max="20"/>
    <col width="11" customWidth="1" min="21" max="21"/>
    <col width="14" customWidth="1" min="22" max="22"/>
    <col width="13" customWidth="1" min="23" max="23"/>
    <col width="11" customWidth="1" min="24" max="24"/>
    <col width="9" customWidth="1" min="25" max="25"/>
    <col width="10" customWidth="1" min="26" max="26"/>
  </cols>
  <sheetData>
    <row r="1" ht="38" customHeight="1">
      <c r="A1" s="1" t="inlineStr">
        <is>
          <t>EVAL AI (ADEM) — GRADE 12 EXAMINATION MARK SHEET</t>
        </is>
      </c>
    </row>
    <row r="2" ht="22" customHeight="1">
      <c r="A2" s="2" t="inlineStr">
        <is>
          <t>Academic Year: 2025–2026  |  Class: Grade 12  |  Total Subjects: 6  |  Max Marks: 600  |  Pass: Min 35% in each subject</t>
        </is>
      </c>
    </row>
    <row r="3" ht="8" customHeight="1"/>
    <row r="4" ht="26" customHeight="1">
      <c r="A4" s="19" t="inlineStr">
        <is>
          <t>S.No</t>
        </is>
      </c>
      <c r="B4" s="19" t="inlineStr">
        <is>
          <t>Roll No</t>
        </is>
      </c>
      <c r="C4" s="19" t="inlineStr">
        <is>
          <t>Student Name</t>
        </is>
      </c>
      <c r="D4" s="20" t="inlineStr">
        <is>
          <t>BIOLOGY (100)</t>
        </is>
      </c>
      <c r="E4" s="21" t="n"/>
      <c r="F4" s="21" t="n"/>
      <c r="G4" s="20" t="inlineStr">
        <is>
          <t>BIOLOGY (100)</t>
        </is>
      </c>
      <c r="H4" s="21" t="n"/>
      <c r="I4" s="21" t="n"/>
      <c r="J4" s="20" t="inlineStr">
        <is>
          <t>CHEMISTRY (100)</t>
        </is>
      </c>
      <c r="K4" s="21" t="n"/>
      <c r="L4" s="21" t="n"/>
      <c r="M4" s="20" t="inlineStr">
        <is>
          <t>CHEMISTRY (100)</t>
        </is>
      </c>
      <c r="N4" s="21" t="n"/>
      <c r="O4" s="21" t="n"/>
      <c r="P4" s="20" t="inlineStr">
        <is>
          <t>MATHS (100)</t>
        </is>
      </c>
      <c r="Q4" s="21" t="n"/>
      <c r="R4" s="21" t="n"/>
      <c r="S4" s="20" t="inlineStr">
        <is>
          <t>PHYSICS (100)</t>
        </is>
      </c>
      <c r="T4" s="21" t="n"/>
      <c r="U4" s="21" t="n"/>
      <c r="V4" s="20" t="inlineStr">
        <is>
          <t>Grand Total
(600)</t>
        </is>
      </c>
      <c r="W4" s="20" t="inlineStr">
        <is>
          <t>Percentage
(%)</t>
        </is>
      </c>
      <c r="X4" s="20" t="inlineStr">
        <is>
          <t>Result</t>
        </is>
      </c>
      <c r="Y4" s="20" t="inlineStr">
        <is>
          <t>Grade</t>
        </is>
      </c>
      <c r="Z4" s="20" t="inlineStr">
        <is>
          <t>Class
Rank</t>
        </is>
      </c>
    </row>
    <row r="5" ht="28" customHeight="1">
      <c r="A5" s="21" t="n"/>
      <c r="B5" s="21" t="n"/>
      <c r="C5" s="21" t="n"/>
      <c r="D5" s="22" t="inlineStr">
        <is>
          <t>Theory
(80)</t>
        </is>
      </c>
      <c r="E5" s="22" t="inlineStr">
        <is>
          <t>Internal
(20)</t>
        </is>
      </c>
      <c r="F5" s="23" t="inlineStr">
        <is>
          <t>Total
(100)</t>
        </is>
      </c>
      <c r="G5" s="22" t="inlineStr">
        <is>
          <t>Theory
(80)</t>
        </is>
      </c>
      <c r="H5" s="22" t="inlineStr">
        <is>
          <t>Internal
(20)</t>
        </is>
      </c>
      <c r="I5" s="23" t="inlineStr">
        <is>
          <t>Total
(100)</t>
        </is>
      </c>
      <c r="J5" s="22" t="inlineStr">
        <is>
          <t>Theory
(80)</t>
        </is>
      </c>
      <c r="K5" s="22" t="inlineStr">
        <is>
          <t>Internal
(20)</t>
        </is>
      </c>
      <c r="L5" s="23" t="inlineStr">
        <is>
          <t>Total
(100)</t>
        </is>
      </c>
      <c r="M5" s="22" t="inlineStr">
        <is>
          <t>Theory
(80)</t>
        </is>
      </c>
      <c r="N5" s="22" t="inlineStr">
        <is>
          <t>Internal
(20)</t>
        </is>
      </c>
      <c r="O5" s="23" t="inlineStr">
        <is>
          <t>Total
(100)</t>
        </is>
      </c>
      <c r="P5" s="22" t="inlineStr">
        <is>
          <t>Theory
(80)</t>
        </is>
      </c>
      <c r="Q5" s="22" t="inlineStr">
        <is>
          <t>Internal
(20)</t>
        </is>
      </c>
      <c r="R5" s="23" t="inlineStr">
        <is>
          <t>Total
(100)</t>
        </is>
      </c>
      <c r="S5" s="22" t="inlineStr">
        <is>
          <t>Theory
(80)</t>
        </is>
      </c>
      <c r="T5" s="22" t="inlineStr">
        <is>
          <t>Internal
(20)</t>
        </is>
      </c>
      <c r="U5" s="23" t="inlineStr">
        <is>
          <t>Total
(100)</t>
        </is>
      </c>
      <c r="V5" s="21" t="n"/>
      <c r="W5" s="21" t="n"/>
      <c r="X5" s="21" t="n"/>
      <c r="Y5" s="21" t="n"/>
      <c r="Z5" s="21" t="n"/>
    </row>
    <row r="6">
      <c r="A6" s="5" t="inlineStr"/>
      <c r="B6" s="5" t="inlineStr"/>
      <c r="C6" s="6" t="inlineStr"/>
      <c r="D6" s="5" t="n"/>
      <c r="E6" s="5" t="n"/>
      <c r="F6" s="7">
        <f>IF(ISBLANK(C6), "", D6+E6)</f>
        <v/>
      </c>
      <c r="G6" s="5" t="n"/>
      <c r="H6" s="5" t="n"/>
      <c r="I6" s="7">
        <f>IF(ISBLANK(C6), "", G6+H6)</f>
        <v/>
      </c>
      <c r="J6" s="5" t="n"/>
      <c r="K6" s="5" t="n"/>
      <c r="L6" s="7">
        <f>IF(ISBLANK(C6), "", J6+K6)</f>
        <v/>
      </c>
      <c r="M6" s="5" t="n"/>
      <c r="N6" s="5" t="n"/>
      <c r="O6" s="7">
        <f>IF(ISBLANK(C6), "", M6+N6)</f>
        <v/>
      </c>
      <c r="P6" s="5" t="n"/>
      <c r="Q6" s="5" t="n"/>
      <c r="R6" s="7">
        <f>IF(ISBLANK(C6), "", P6+Q6)</f>
        <v/>
      </c>
      <c r="S6" s="5" t="n"/>
      <c r="T6" s="5" t="n"/>
      <c r="U6" s="7">
        <f>IF(ISBLANK(C6), "", S6+T6)</f>
        <v/>
      </c>
      <c r="V6" s="24">
        <f>IF(ISBLANK(C6), "", F6+I6+L6+O6+R6+U6)</f>
        <v/>
      </c>
      <c r="W6" s="10">
        <f>IF(OR(ISBLANK(C6), V6=""), "", ROUND((V6/600)*100, 1))</f>
        <v/>
      </c>
      <c r="X6" s="7">
        <f>IF(OR(ISBLANK(C6), V6=""), "", IF(AND(F6&gt;=35, I6&gt;=35, L6&gt;=35, O6&gt;=35, R6&gt;=35, U6&gt;=35), "PASS", "FAIL"))</f>
        <v/>
      </c>
      <c r="Y6" s="7">
        <f>IF(OR(ISBLANK(C6), X6=""), "", IF(X6="FAIL", "F", IF(W6&gt;=90, "A+", IF(W6&gt;=80, "A", IF(W6&gt;=70, "B", IF(W6&gt;=50, "C", "D"))))))</f>
        <v/>
      </c>
      <c r="Z6" s="7">
        <f>IF(OR(ISBLANK(C6), V6=""), "", RANK(V6, $V$6:$V$20))</f>
        <v/>
      </c>
    </row>
    <row r="7">
      <c r="A7" s="12" t="inlineStr"/>
      <c r="B7" s="12" t="inlineStr"/>
      <c r="C7" s="13" t="inlineStr"/>
      <c r="D7" s="12" t="n"/>
      <c r="E7" s="12" t="n"/>
      <c r="F7" s="14">
        <f>IF(ISBLANK(C7), "", D7+E7)</f>
        <v/>
      </c>
      <c r="G7" s="12" t="n"/>
      <c r="H7" s="12" t="n"/>
      <c r="I7" s="14">
        <f>IF(ISBLANK(C7), "", G7+H7)</f>
        <v/>
      </c>
      <c r="J7" s="12" t="n"/>
      <c r="K7" s="12" t="n"/>
      <c r="L7" s="14">
        <f>IF(ISBLANK(C7), "", J7+K7)</f>
        <v/>
      </c>
      <c r="M7" s="12" t="n"/>
      <c r="N7" s="12" t="n"/>
      <c r="O7" s="14">
        <f>IF(ISBLANK(C7), "", M7+N7)</f>
        <v/>
      </c>
      <c r="P7" s="12" t="n"/>
      <c r="Q7" s="12" t="n"/>
      <c r="R7" s="14">
        <f>IF(ISBLANK(C7), "", P7+Q7)</f>
        <v/>
      </c>
      <c r="S7" s="12" t="n"/>
      <c r="T7" s="12" t="n"/>
      <c r="U7" s="14">
        <f>IF(ISBLANK(C7), "", S7+T7)</f>
        <v/>
      </c>
      <c r="V7" s="25">
        <f>IF(ISBLANK(C7), "", F7+I7+L7+O7+R7+U7)</f>
        <v/>
      </c>
      <c r="W7" s="17">
        <f>IF(OR(ISBLANK(C7), V7=""), "", ROUND((V7/600)*100, 1))</f>
        <v/>
      </c>
      <c r="X7" s="14">
        <f>IF(OR(ISBLANK(C7), V7=""), "", IF(AND(F7&gt;=35, I7&gt;=35, L7&gt;=35, O7&gt;=35, R7&gt;=35, U7&gt;=35), "PASS", "FAIL"))</f>
        <v/>
      </c>
      <c r="Y7" s="14">
        <f>IF(OR(ISBLANK(C7), X7=""), "", IF(X7="FAIL", "F", IF(W7&gt;=90, "A+", IF(W7&gt;=80, "A", IF(W7&gt;=70, "B", IF(W7&gt;=50, "C", "D"))))))</f>
        <v/>
      </c>
      <c r="Z7" s="14">
        <f>IF(OR(ISBLANK(C7), V7=""), "", RANK(V7, $V$6:$V$20))</f>
        <v/>
      </c>
    </row>
    <row r="8">
      <c r="A8" s="5" t="inlineStr"/>
      <c r="B8" s="5" t="inlineStr"/>
      <c r="C8" s="6" t="inlineStr"/>
      <c r="D8" s="5" t="n"/>
      <c r="E8" s="5" t="n"/>
      <c r="F8" s="7">
        <f>IF(ISBLANK(C8), "", D8+E8)</f>
        <v/>
      </c>
      <c r="G8" s="5" t="n"/>
      <c r="H8" s="5" t="n"/>
      <c r="I8" s="7">
        <f>IF(ISBLANK(C8), "", G8+H8)</f>
        <v/>
      </c>
      <c r="J8" s="5" t="n"/>
      <c r="K8" s="5" t="n"/>
      <c r="L8" s="7">
        <f>IF(ISBLANK(C8), "", J8+K8)</f>
        <v/>
      </c>
      <c r="M8" s="5" t="n"/>
      <c r="N8" s="5" t="n"/>
      <c r="O8" s="7">
        <f>IF(ISBLANK(C8), "", M8+N8)</f>
        <v/>
      </c>
      <c r="P8" s="5" t="n"/>
      <c r="Q8" s="5" t="n"/>
      <c r="R8" s="7">
        <f>IF(ISBLANK(C8), "", P8+Q8)</f>
        <v/>
      </c>
      <c r="S8" s="5" t="n"/>
      <c r="T8" s="5" t="n"/>
      <c r="U8" s="7">
        <f>IF(ISBLANK(C8), "", S8+T8)</f>
        <v/>
      </c>
      <c r="V8" s="24">
        <f>IF(ISBLANK(C8), "", F8+I8+L8+O8+R8+U8)</f>
        <v/>
      </c>
      <c r="W8" s="10">
        <f>IF(OR(ISBLANK(C8), V8=""), "", ROUND((V8/600)*100, 1))</f>
        <v/>
      </c>
      <c r="X8" s="7">
        <f>IF(OR(ISBLANK(C8), V8=""), "", IF(AND(F8&gt;=35, I8&gt;=35, L8&gt;=35, O8&gt;=35, R8&gt;=35, U8&gt;=35), "PASS", "FAIL"))</f>
        <v/>
      </c>
      <c r="Y8" s="7">
        <f>IF(OR(ISBLANK(C8), X8=""), "", IF(X8="FAIL", "F", IF(W8&gt;=90, "A+", IF(W8&gt;=80, "A", IF(W8&gt;=70, "B", IF(W8&gt;=50, "C", "D"))))))</f>
        <v/>
      </c>
      <c r="Z8" s="7">
        <f>IF(OR(ISBLANK(C8), V8=""), "", RANK(V8, $V$6:$V$20))</f>
        <v/>
      </c>
    </row>
    <row r="9">
      <c r="A9" s="12" t="inlineStr"/>
      <c r="B9" s="12" t="inlineStr"/>
      <c r="C9" s="13" t="inlineStr"/>
      <c r="D9" s="12" t="n"/>
      <c r="E9" s="12" t="n"/>
      <c r="F9" s="14">
        <f>IF(ISBLANK(C9), "", D9+E9)</f>
        <v/>
      </c>
      <c r="G9" s="12" t="n"/>
      <c r="H9" s="12" t="n"/>
      <c r="I9" s="14">
        <f>IF(ISBLANK(C9), "", G9+H9)</f>
        <v/>
      </c>
      <c r="J9" s="12" t="n"/>
      <c r="K9" s="12" t="n"/>
      <c r="L9" s="14">
        <f>IF(ISBLANK(C9), "", J9+K9)</f>
        <v/>
      </c>
      <c r="M9" s="12" t="n"/>
      <c r="N9" s="12" t="n"/>
      <c r="O9" s="14">
        <f>IF(ISBLANK(C9), "", M9+N9)</f>
        <v/>
      </c>
      <c r="P9" s="12" t="n"/>
      <c r="Q9" s="12" t="n"/>
      <c r="R9" s="14">
        <f>IF(ISBLANK(C9), "", P9+Q9)</f>
        <v/>
      </c>
      <c r="S9" s="12" t="n"/>
      <c r="T9" s="12" t="n"/>
      <c r="U9" s="14">
        <f>IF(ISBLANK(C9), "", S9+T9)</f>
        <v/>
      </c>
      <c r="V9" s="25">
        <f>IF(ISBLANK(C9), "", F9+I9+L9+O9+R9+U9)</f>
        <v/>
      </c>
      <c r="W9" s="17">
        <f>IF(OR(ISBLANK(C9), V9=""), "", ROUND((V9/600)*100, 1))</f>
        <v/>
      </c>
      <c r="X9" s="14">
        <f>IF(OR(ISBLANK(C9), V9=""), "", IF(AND(F9&gt;=35, I9&gt;=35, L9&gt;=35, O9&gt;=35, R9&gt;=35, U9&gt;=35), "PASS", "FAIL"))</f>
        <v/>
      </c>
      <c r="Y9" s="14">
        <f>IF(OR(ISBLANK(C9), X9=""), "", IF(X9="FAIL", "F", IF(W9&gt;=90, "A+", IF(W9&gt;=80, "A", IF(W9&gt;=70, "B", IF(W9&gt;=50, "C", "D"))))))</f>
        <v/>
      </c>
      <c r="Z9" s="14">
        <f>IF(OR(ISBLANK(C9), V9=""), "", RANK(V9, $V$6:$V$20))</f>
        <v/>
      </c>
    </row>
    <row r="10">
      <c r="A10" s="5" t="inlineStr"/>
      <c r="B10" s="5" t="inlineStr"/>
      <c r="C10" s="6" t="inlineStr"/>
      <c r="D10" s="5" t="n"/>
      <c r="E10" s="5" t="n"/>
      <c r="F10" s="7">
        <f>IF(ISBLANK(C10), "", D10+E10)</f>
        <v/>
      </c>
      <c r="G10" s="5" t="n"/>
      <c r="H10" s="5" t="n"/>
      <c r="I10" s="7">
        <f>IF(ISBLANK(C10), "", G10+H10)</f>
        <v/>
      </c>
      <c r="J10" s="5" t="n"/>
      <c r="K10" s="5" t="n"/>
      <c r="L10" s="7">
        <f>IF(ISBLANK(C10), "", J10+K10)</f>
        <v/>
      </c>
      <c r="M10" s="5" t="n"/>
      <c r="N10" s="5" t="n"/>
      <c r="O10" s="7">
        <f>IF(ISBLANK(C10), "", M10+N10)</f>
        <v/>
      </c>
      <c r="P10" s="5" t="n"/>
      <c r="Q10" s="5" t="n"/>
      <c r="R10" s="7">
        <f>IF(ISBLANK(C10), "", P10+Q10)</f>
        <v/>
      </c>
      <c r="S10" s="5" t="n"/>
      <c r="T10" s="5" t="n"/>
      <c r="U10" s="7">
        <f>IF(ISBLANK(C10), "", S10+T10)</f>
        <v/>
      </c>
      <c r="V10" s="24">
        <f>IF(ISBLANK(C10), "", F10+I10+L10+O10+R10+U10)</f>
        <v/>
      </c>
      <c r="W10" s="10">
        <f>IF(OR(ISBLANK(C10), V10=""), "", ROUND((V10/600)*100, 1))</f>
        <v/>
      </c>
      <c r="X10" s="7">
        <f>IF(OR(ISBLANK(C10), V10=""), "", IF(AND(F10&gt;=35, I10&gt;=35, L10&gt;=35, O10&gt;=35, R10&gt;=35, U10&gt;=35), "PASS", "FAIL"))</f>
        <v/>
      </c>
      <c r="Y10" s="7">
        <f>IF(OR(ISBLANK(C10), X10=""), "", IF(X10="FAIL", "F", IF(W10&gt;=90, "A+", IF(W10&gt;=80, "A", IF(W10&gt;=70, "B", IF(W10&gt;=50, "C", "D"))))))</f>
        <v/>
      </c>
      <c r="Z10" s="7">
        <f>IF(OR(ISBLANK(C10), V10=""), "", RANK(V10, $V$6:$V$20))</f>
        <v/>
      </c>
    </row>
    <row r="11">
      <c r="A11" s="12" t="inlineStr"/>
      <c r="B11" s="12" t="inlineStr"/>
      <c r="C11" s="13" t="inlineStr"/>
      <c r="D11" s="12" t="n"/>
      <c r="E11" s="12" t="n"/>
      <c r="F11" s="14">
        <f>IF(ISBLANK(C11), "", D11+E11)</f>
        <v/>
      </c>
      <c r="G11" s="12" t="n"/>
      <c r="H11" s="12" t="n"/>
      <c r="I11" s="14">
        <f>IF(ISBLANK(C11), "", G11+H11)</f>
        <v/>
      </c>
      <c r="J11" s="12" t="n"/>
      <c r="K11" s="12" t="n"/>
      <c r="L11" s="14">
        <f>IF(ISBLANK(C11), "", J11+K11)</f>
        <v/>
      </c>
      <c r="M11" s="12" t="n"/>
      <c r="N11" s="12" t="n"/>
      <c r="O11" s="14">
        <f>IF(ISBLANK(C11), "", M11+N11)</f>
        <v/>
      </c>
      <c r="P11" s="12" t="n"/>
      <c r="Q11" s="12" t="n"/>
      <c r="R11" s="14">
        <f>IF(ISBLANK(C11), "", P11+Q11)</f>
        <v/>
      </c>
      <c r="S11" s="12" t="n"/>
      <c r="T11" s="12" t="n"/>
      <c r="U11" s="14">
        <f>IF(ISBLANK(C11), "", S11+T11)</f>
        <v/>
      </c>
      <c r="V11" s="25">
        <f>IF(ISBLANK(C11), "", F11+I11+L11+O11+R11+U11)</f>
        <v/>
      </c>
      <c r="W11" s="17">
        <f>IF(OR(ISBLANK(C11), V11=""), "", ROUND((V11/600)*100, 1))</f>
        <v/>
      </c>
      <c r="X11" s="14">
        <f>IF(OR(ISBLANK(C11), V11=""), "", IF(AND(F11&gt;=35, I11&gt;=35, L11&gt;=35, O11&gt;=35, R11&gt;=35, U11&gt;=35), "PASS", "FAIL"))</f>
        <v/>
      </c>
      <c r="Y11" s="14">
        <f>IF(OR(ISBLANK(C11), X11=""), "", IF(X11="FAIL", "F", IF(W11&gt;=90, "A+", IF(W11&gt;=80, "A", IF(W11&gt;=70, "B", IF(W11&gt;=50, "C", "D"))))))</f>
        <v/>
      </c>
      <c r="Z11" s="14">
        <f>IF(OR(ISBLANK(C11), V11=""), "", RANK(V11, $V$6:$V$20))</f>
        <v/>
      </c>
    </row>
    <row r="12">
      <c r="A12" s="5" t="inlineStr"/>
      <c r="B12" s="5" t="inlineStr"/>
      <c r="C12" s="6" t="inlineStr"/>
      <c r="D12" s="5" t="n"/>
      <c r="E12" s="5" t="n"/>
      <c r="F12" s="7">
        <f>IF(ISBLANK(C12), "", D12+E12)</f>
        <v/>
      </c>
      <c r="G12" s="5" t="n"/>
      <c r="H12" s="5" t="n"/>
      <c r="I12" s="7">
        <f>IF(ISBLANK(C12), "", G12+H12)</f>
        <v/>
      </c>
      <c r="J12" s="5" t="n"/>
      <c r="K12" s="5" t="n"/>
      <c r="L12" s="7">
        <f>IF(ISBLANK(C12), "", J12+K12)</f>
        <v/>
      </c>
      <c r="M12" s="5" t="n"/>
      <c r="N12" s="5" t="n"/>
      <c r="O12" s="7">
        <f>IF(ISBLANK(C12), "", M12+N12)</f>
        <v/>
      </c>
      <c r="P12" s="5" t="n"/>
      <c r="Q12" s="5" t="n"/>
      <c r="R12" s="7">
        <f>IF(ISBLANK(C12), "", P12+Q12)</f>
        <v/>
      </c>
      <c r="S12" s="5" t="n"/>
      <c r="T12" s="5" t="n"/>
      <c r="U12" s="7">
        <f>IF(ISBLANK(C12), "", S12+T12)</f>
        <v/>
      </c>
      <c r="V12" s="24">
        <f>IF(ISBLANK(C12), "", F12+I12+L12+O12+R12+U12)</f>
        <v/>
      </c>
      <c r="W12" s="10">
        <f>IF(OR(ISBLANK(C12), V12=""), "", ROUND((V12/600)*100, 1))</f>
        <v/>
      </c>
      <c r="X12" s="7">
        <f>IF(OR(ISBLANK(C12), V12=""), "", IF(AND(F12&gt;=35, I12&gt;=35, L12&gt;=35, O12&gt;=35, R12&gt;=35, U12&gt;=35), "PASS", "FAIL"))</f>
        <v/>
      </c>
      <c r="Y12" s="7">
        <f>IF(OR(ISBLANK(C12), X12=""), "", IF(X12="FAIL", "F", IF(W12&gt;=90, "A+", IF(W12&gt;=80, "A", IF(W12&gt;=70, "B", IF(W12&gt;=50, "C", "D"))))))</f>
        <v/>
      </c>
      <c r="Z12" s="7">
        <f>IF(OR(ISBLANK(C12), V12=""), "", RANK(V12, $V$6:$V$20))</f>
        <v/>
      </c>
    </row>
    <row r="13">
      <c r="A13" s="12" t="inlineStr"/>
      <c r="B13" s="12" t="inlineStr"/>
      <c r="C13" s="13" t="inlineStr"/>
      <c r="D13" s="12" t="n"/>
      <c r="E13" s="12" t="n"/>
      <c r="F13" s="14">
        <f>IF(ISBLANK(C13), "", D13+E13)</f>
        <v/>
      </c>
      <c r="G13" s="12" t="n"/>
      <c r="H13" s="12" t="n"/>
      <c r="I13" s="14">
        <f>IF(ISBLANK(C13), "", G13+H13)</f>
        <v/>
      </c>
      <c r="J13" s="12" t="n"/>
      <c r="K13" s="12" t="n"/>
      <c r="L13" s="14">
        <f>IF(ISBLANK(C13), "", J13+K13)</f>
        <v/>
      </c>
      <c r="M13" s="12" t="n"/>
      <c r="N13" s="12" t="n"/>
      <c r="O13" s="14">
        <f>IF(ISBLANK(C13), "", M13+N13)</f>
        <v/>
      </c>
      <c r="P13" s="12" t="n"/>
      <c r="Q13" s="12" t="n"/>
      <c r="R13" s="14">
        <f>IF(ISBLANK(C13), "", P13+Q13)</f>
        <v/>
      </c>
      <c r="S13" s="12" t="n"/>
      <c r="T13" s="12" t="n"/>
      <c r="U13" s="14">
        <f>IF(ISBLANK(C13), "", S13+T13)</f>
        <v/>
      </c>
      <c r="V13" s="25">
        <f>IF(ISBLANK(C13), "", F13+I13+L13+O13+R13+U13)</f>
        <v/>
      </c>
      <c r="W13" s="17">
        <f>IF(OR(ISBLANK(C13), V13=""), "", ROUND((V13/600)*100, 1))</f>
        <v/>
      </c>
      <c r="X13" s="14">
        <f>IF(OR(ISBLANK(C13), V13=""), "", IF(AND(F13&gt;=35, I13&gt;=35, L13&gt;=35, O13&gt;=35, R13&gt;=35, U13&gt;=35), "PASS", "FAIL"))</f>
        <v/>
      </c>
      <c r="Y13" s="14">
        <f>IF(OR(ISBLANK(C13), X13=""), "", IF(X13="FAIL", "F", IF(W13&gt;=90, "A+", IF(W13&gt;=80, "A", IF(W13&gt;=70, "B", IF(W13&gt;=50, "C", "D"))))))</f>
        <v/>
      </c>
      <c r="Z13" s="14">
        <f>IF(OR(ISBLANK(C13), V13=""), "", RANK(V13, $V$6:$V$20))</f>
        <v/>
      </c>
    </row>
    <row r="14">
      <c r="A14" s="5" t="inlineStr"/>
      <c r="B14" s="5" t="inlineStr"/>
      <c r="C14" s="6" t="inlineStr"/>
      <c r="D14" s="5" t="n"/>
      <c r="E14" s="5" t="n"/>
      <c r="F14" s="7">
        <f>IF(ISBLANK(C14), "", D14+E14)</f>
        <v/>
      </c>
      <c r="G14" s="5" t="n"/>
      <c r="H14" s="5" t="n"/>
      <c r="I14" s="7">
        <f>IF(ISBLANK(C14), "", G14+H14)</f>
        <v/>
      </c>
      <c r="J14" s="5" t="n"/>
      <c r="K14" s="5" t="n"/>
      <c r="L14" s="7">
        <f>IF(ISBLANK(C14), "", J14+K14)</f>
        <v/>
      </c>
      <c r="M14" s="5" t="n"/>
      <c r="N14" s="5" t="n"/>
      <c r="O14" s="7">
        <f>IF(ISBLANK(C14), "", M14+N14)</f>
        <v/>
      </c>
      <c r="P14" s="5" t="n"/>
      <c r="Q14" s="5" t="n"/>
      <c r="R14" s="7">
        <f>IF(ISBLANK(C14), "", P14+Q14)</f>
        <v/>
      </c>
      <c r="S14" s="5" t="n"/>
      <c r="T14" s="5" t="n"/>
      <c r="U14" s="7">
        <f>IF(ISBLANK(C14), "", S14+T14)</f>
        <v/>
      </c>
      <c r="V14" s="24">
        <f>IF(ISBLANK(C14), "", F14+I14+L14+O14+R14+U14)</f>
        <v/>
      </c>
      <c r="W14" s="10">
        <f>IF(OR(ISBLANK(C14), V14=""), "", ROUND((V14/600)*100, 1))</f>
        <v/>
      </c>
      <c r="X14" s="7">
        <f>IF(OR(ISBLANK(C14), V14=""), "", IF(AND(F14&gt;=35, I14&gt;=35, L14&gt;=35, O14&gt;=35, R14&gt;=35, U14&gt;=35), "PASS", "FAIL"))</f>
        <v/>
      </c>
      <c r="Y14" s="7">
        <f>IF(OR(ISBLANK(C14), X14=""), "", IF(X14="FAIL", "F", IF(W14&gt;=90, "A+", IF(W14&gt;=80, "A", IF(W14&gt;=70, "B", IF(W14&gt;=50, "C", "D"))))))</f>
        <v/>
      </c>
      <c r="Z14" s="7">
        <f>IF(OR(ISBLANK(C14), V14=""), "", RANK(V14, $V$6:$V$20))</f>
        <v/>
      </c>
    </row>
    <row r="15">
      <c r="A15" s="12" t="inlineStr"/>
      <c r="B15" s="12" t="inlineStr"/>
      <c r="C15" s="13" t="inlineStr"/>
      <c r="D15" s="12" t="n"/>
      <c r="E15" s="12" t="n"/>
      <c r="F15" s="14">
        <f>IF(ISBLANK(C15), "", D15+E15)</f>
        <v/>
      </c>
      <c r="G15" s="12" t="n"/>
      <c r="H15" s="12" t="n"/>
      <c r="I15" s="14">
        <f>IF(ISBLANK(C15), "", G15+H15)</f>
        <v/>
      </c>
      <c r="J15" s="12" t="n"/>
      <c r="K15" s="12" t="n"/>
      <c r="L15" s="14">
        <f>IF(ISBLANK(C15), "", J15+K15)</f>
        <v/>
      </c>
      <c r="M15" s="12" t="n"/>
      <c r="N15" s="12" t="n"/>
      <c r="O15" s="14">
        <f>IF(ISBLANK(C15), "", M15+N15)</f>
        <v/>
      </c>
      <c r="P15" s="12" t="n"/>
      <c r="Q15" s="12" t="n"/>
      <c r="R15" s="14">
        <f>IF(ISBLANK(C15), "", P15+Q15)</f>
        <v/>
      </c>
      <c r="S15" s="12" t="n"/>
      <c r="T15" s="12" t="n"/>
      <c r="U15" s="14">
        <f>IF(ISBLANK(C15), "", S15+T15)</f>
        <v/>
      </c>
      <c r="V15" s="25">
        <f>IF(ISBLANK(C15), "", F15+I15+L15+O15+R15+U15)</f>
        <v/>
      </c>
      <c r="W15" s="17">
        <f>IF(OR(ISBLANK(C15), V15=""), "", ROUND((V15/600)*100, 1))</f>
        <v/>
      </c>
      <c r="X15" s="14">
        <f>IF(OR(ISBLANK(C15), V15=""), "", IF(AND(F15&gt;=35, I15&gt;=35, L15&gt;=35, O15&gt;=35, R15&gt;=35, U15&gt;=35), "PASS", "FAIL"))</f>
        <v/>
      </c>
      <c r="Y15" s="14">
        <f>IF(OR(ISBLANK(C15), X15=""), "", IF(X15="FAIL", "F", IF(W15&gt;=90, "A+", IF(W15&gt;=80, "A", IF(W15&gt;=70, "B", IF(W15&gt;=50, "C", "D"))))))</f>
        <v/>
      </c>
      <c r="Z15" s="14">
        <f>IF(OR(ISBLANK(C15), V15=""), "", RANK(V15, $V$6:$V$20))</f>
        <v/>
      </c>
    </row>
    <row r="16">
      <c r="A16" s="5" t="inlineStr"/>
      <c r="B16" s="5" t="inlineStr"/>
      <c r="C16" s="6" t="inlineStr"/>
      <c r="D16" s="5" t="n"/>
      <c r="E16" s="5" t="n"/>
      <c r="F16" s="7">
        <f>IF(ISBLANK(C16), "", D16+E16)</f>
        <v/>
      </c>
      <c r="G16" s="5" t="n"/>
      <c r="H16" s="5" t="n"/>
      <c r="I16" s="7">
        <f>IF(ISBLANK(C16), "", G16+H16)</f>
        <v/>
      </c>
      <c r="J16" s="5" t="n"/>
      <c r="K16" s="5" t="n"/>
      <c r="L16" s="7">
        <f>IF(ISBLANK(C16), "", J16+K16)</f>
        <v/>
      </c>
      <c r="M16" s="5" t="n"/>
      <c r="N16" s="5" t="n"/>
      <c r="O16" s="7">
        <f>IF(ISBLANK(C16), "", M16+N16)</f>
        <v/>
      </c>
      <c r="P16" s="5" t="n"/>
      <c r="Q16" s="5" t="n"/>
      <c r="R16" s="7">
        <f>IF(ISBLANK(C16), "", P16+Q16)</f>
        <v/>
      </c>
      <c r="S16" s="5" t="n"/>
      <c r="T16" s="5" t="n"/>
      <c r="U16" s="7">
        <f>IF(ISBLANK(C16), "", S16+T16)</f>
        <v/>
      </c>
      <c r="V16" s="24">
        <f>IF(ISBLANK(C16), "", F16+I16+L16+O16+R16+U16)</f>
        <v/>
      </c>
      <c r="W16" s="10">
        <f>IF(OR(ISBLANK(C16), V16=""), "", ROUND((V16/600)*100, 1))</f>
        <v/>
      </c>
      <c r="X16" s="7">
        <f>IF(OR(ISBLANK(C16), V16=""), "", IF(AND(F16&gt;=35, I16&gt;=35, L16&gt;=35, O16&gt;=35, R16&gt;=35, U16&gt;=35), "PASS", "FAIL"))</f>
        <v/>
      </c>
      <c r="Y16" s="7">
        <f>IF(OR(ISBLANK(C16), X16=""), "", IF(X16="FAIL", "F", IF(W16&gt;=90, "A+", IF(W16&gt;=80, "A", IF(W16&gt;=70, "B", IF(W16&gt;=50, "C", "D"))))))</f>
        <v/>
      </c>
      <c r="Z16" s="7">
        <f>IF(OR(ISBLANK(C16), V16=""), "", RANK(V16, $V$6:$V$20))</f>
        <v/>
      </c>
    </row>
    <row r="17">
      <c r="A17" s="12" t="inlineStr"/>
      <c r="B17" s="12" t="inlineStr"/>
      <c r="C17" s="13" t="inlineStr"/>
      <c r="D17" s="12" t="n"/>
      <c r="E17" s="12" t="n"/>
      <c r="F17" s="14">
        <f>IF(ISBLANK(C17), "", D17+E17)</f>
        <v/>
      </c>
      <c r="G17" s="12" t="n"/>
      <c r="H17" s="12" t="n"/>
      <c r="I17" s="14">
        <f>IF(ISBLANK(C17), "", G17+H17)</f>
        <v/>
      </c>
      <c r="J17" s="12" t="n"/>
      <c r="K17" s="12" t="n"/>
      <c r="L17" s="14">
        <f>IF(ISBLANK(C17), "", J17+K17)</f>
        <v/>
      </c>
      <c r="M17" s="12" t="n"/>
      <c r="N17" s="12" t="n"/>
      <c r="O17" s="14">
        <f>IF(ISBLANK(C17), "", M17+N17)</f>
        <v/>
      </c>
      <c r="P17" s="12" t="n"/>
      <c r="Q17" s="12" t="n"/>
      <c r="R17" s="14">
        <f>IF(ISBLANK(C17), "", P17+Q17)</f>
        <v/>
      </c>
      <c r="S17" s="12" t="n"/>
      <c r="T17" s="12" t="n"/>
      <c r="U17" s="14">
        <f>IF(ISBLANK(C17), "", S17+T17)</f>
        <v/>
      </c>
      <c r="V17" s="25">
        <f>IF(ISBLANK(C17), "", F17+I17+L17+O17+R17+U17)</f>
        <v/>
      </c>
      <c r="W17" s="17">
        <f>IF(OR(ISBLANK(C17), V17=""), "", ROUND((V17/600)*100, 1))</f>
        <v/>
      </c>
      <c r="X17" s="14">
        <f>IF(OR(ISBLANK(C17), V17=""), "", IF(AND(F17&gt;=35, I17&gt;=35, L17&gt;=35, O17&gt;=35, R17&gt;=35, U17&gt;=35), "PASS", "FAIL"))</f>
        <v/>
      </c>
      <c r="Y17" s="14">
        <f>IF(OR(ISBLANK(C17), X17=""), "", IF(X17="FAIL", "F", IF(W17&gt;=90, "A+", IF(W17&gt;=80, "A", IF(W17&gt;=70, "B", IF(W17&gt;=50, "C", "D"))))))</f>
        <v/>
      </c>
      <c r="Z17" s="14">
        <f>IF(OR(ISBLANK(C17), V17=""), "", RANK(V17, $V$6:$V$20))</f>
        <v/>
      </c>
    </row>
    <row r="18">
      <c r="A18" s="5" t="inlineStr"/>
      <c r="B18" s="5" t="inlineStr"/>
      <c r="C18" s="6" t="inlineStr"/>
      <c r="D18" s="5" t="n"/>
      <c r="E18" s="5" t="n"/>
      <c r="F18" s="7">
        <f>IF(ISBLANK(C18), "", D18+E18)</f>
        <v/>
      </c>
      <c r="G18" s="5" t="n"/>
      <c r="H18" s="5" t="n"/>
      <c r="I18" s="7">
        <f>IF(ISBLANK(C18), "", G18+H18)</f>
        <v/>
      </c>
      <c r="J18" s="5" t="n"/>
      <c r="K18" s="5" t="n"/>
      <c r="L18" s="7">
        <f>IF(ISBLANK(C18), "", J18+K18)</f>
        <v/>
      </c>
      <c r="M18" s="5" t="n"/>
      <c r="N18" s="5" t="n"/>
      <c r="O18" s="7">
        <f>IF(ISBLANK(C18), "", M18+N18)</f>
        <v/>
      </c>
      <c r="P18" s="5" t="n"/>
      <c r="Q18" s="5" t="n"/>
      <c r="R18" s="7">
        <f>IF(ISBLANK(C18), "", P18+Q18)</f>
        <v/>
      </c>
      <c r="S18" s="5" t="n"/>
      <c r="T18" s="5" t="n"/>
      <c r="U18" s="7">
        <f>IF(ISBLANK(C18), "", S18+T18)</f>
        <v/>
      </c>
      <c r="V18" s="24">
        <f>IF(ISBLANK(C18), "", F18+I18+L18+O18+R18+U18)</f>
        <v/>
      </c>
      <c r="W18" s="10">
        <f>IF(OR(ISBLANK(C18), V18=""), "", ROUND((V18/600)*100, 1))</f>
        <v/>
      </c>
      <c r="X18" s="7">
        <f>IF(OR(ISBLANK(C18), V18=""), "", IF(AND(F18&gt;=35, I18&gt;=35, L18&gt;=35, O18&gt;=35, R18&gt;=35, U18&gt;=35), "PASS", "FAIL"))</f>
        <v/>
      </c>
      <c r="Y18" s="7">
        <f>IF(OR(ISBLANK(C18), X18=""), "", IF(X18="FAIL", "F", IF(W18&gt;=90, "A+", IF(W18&gt;=80, "A", IF(W18&gt;=70, "B", IF(W18&gt;=50, "C", "D"))))))</f>
        <v/>
      </c>
      <c r="Z18" s="7">
        <f>IF(OR(ISBLANK(C18), V18=""), "", RANK(V18, $V$6:$V$20))</f>
        <v/>
      </c>
    </row>
    <row r="19">
      <c r="A19" s="12" t="inlineStr"/>
      <c r="B19" s="12" t="inlineStr"/>
      <c r="C19" s="13" t="inlineStr"/>
      <c r="D19" s="12" t="n"/>
      <c r="E19" s="12" t="n"/>
      <c r="F19" s="14">
        <f>IF(ISBLANK(C19), "", D19+E19)</f>
        <v/>
      </c>
      <c r="G19" s="12" t="n"/>
      <c r="H19" s="12" t="n"/>
      <c r="I19" s="14">
        <f>IF(ISBLANK(C19), "", G19+H19)</f>
        <v/>
      </c>
      <c r="J19" s="12" t="n"/>
      <c r="K19" s="12" t="n"/>
      <c r="L19" s="14">
        <f>IF(ISBLANK(C19), "", J19+K19)</f>
        <v/>
      </c>
      <c r="M19" s="12" t="n"/>
      <c r="N19" s="12" t="n"/>
      <c r="O19" s="14">
        <f>IF(ISBLANK(C19), "", M19+N19)</f>
        <v/>
      </c>
      <c r="P19" s="12" t="n"/>
      <c r="Q19" s="12" t="n"/>
      <c r="R19" s="14">
        <f>IF(ISBLANK(C19), "", P19+Q19)</f>
        <v/>
      </c>
      <c r="S19" s="12" t="n"/>
      <c r="T19" s="12" t="n"/>
      <c r="U19" s="14">
        <f>IF(ISBLANK(C19), "", S19+T19)</f>
        <v/>
      </c>
      <c r="V19" s="25">
        <f>IF(ISBLANK(C19), "", F19+I19+L19+O19+R19+U19)</f>
        <v/>
      </c>
      <c r="W19" s="17">
        <f>IF(OR(ISBLANK(C19), V19=""), "", ROUND((V19/600)*100, 1))</f>
        <v/>
      </c>
      <c r="X19" s="14">
        <f>IF(OR(ISBLANK(C19), V19=""), "", IF(AND(F19&gt;=35, I19&gt;=35, L19&gt;=35, O19&gt;=35, R19&gt;=35, U19&gt;=35), "PASS", "FAIL"))</f>
        <v/>
      </c>
      <c r="Y19" s="14">
        <f>IF(OR(ISBLANK(C19), X19=""), "", IF(X19="FAIL", "F", IF(W19&gt;=90, "A+", IF(W19&gt;=80, "A", IF(W19&gt;=70, "B", IF(W19&gt;=50, "C", "D"))))))</f>
        <v/>
      </c>
      <c r="Z19" s="14">
        <f>IF(OR(ISBLANK(C19), V19=""), "", RANK(V19, $V$6:$V$20))</f>
        <v/>
      </c>
    </row>
    <row r="20">
      <c r="A20" s="5" t="inlineStr"/>
      <c r="B20" s="5" t="inlineStr"/>
      <c r="C20" s="6" t="inlineStr"/>
      <c r="D20" s="5" t="n"/>
      <c r="E20" s="5" t="n"/>
      <c r="F20" s="7">
        <f>IF(ISBLANK(C20), "", D20+E20)</f>
        <v/>
      </c>
      <c r="G20" s="5" t="n"/>
      <c r="H20" s="5" t="n"/>
      <c r="I20" s="7">
        <f>IF(ISBLANK(C20), "", G20+H20)</f>
        <v/>
      </c>
      <c r="J20" s="5" t="n"/>
      <c r="K20" s="5" t="n"/>
      <c r="L20" s="7">
        <f>IF(ISBLANK(C20), "", J20+K20)</f>
        <v/>
      </c>
      <c r="M20" s="5" t="n"/>
      <c r="N20" s="5" t="n"/>
      <c r="O20" s="7">
        <f>IF(ISBLANK(C20), "", M20+N20)</f>
        <v/>
      </c>
      <c r="P20" s="5" t="n"/>
      <c r="Q20" s="5" t="n"/>
      <c r="R20" s="7">
        <f>IF(ISBLANK(C20), "", P20+Q20)</f>
        <v/>
      </c>
      <c r="S20" s="5" t="n"/>
      <c r="T20" s="5" t="n"/>
      <c r="U20" s="7">
        <f>IF(ISBLANK(C20), "", S20+T20)</f>
        <v/>
      </c>
      <c r="V20" s="24">
        <f>IF(ISBLANK(C20), "", F20+I20+L20+O20+R20+U20)</f>
        <v/>
      </c>
      <c r="W20" s="10">
        <f>IF(OR(ISBLANK(C20), V20=""), "", ROUND((V20/600)*100, 1))</f>
        <v/>
      </c>
      <c r="X20" s="7">
        <f>IF(OR(ISBLANK(C20), V20=""), "", IF(AND(F20&gt;=35, I20&gt;=35, L20&gt;=35, O20&gt;=35, R20&gt;=35, U20&gt;=35), "PASS", "FAIL"))</f>
        <v/>
      </c>
      <c r="Y20" s="7">
        <f>IF(OR(ISBLANK(C20), X20=""), "", IF(X20="FAIL", "F", IF(W20&gt;=90, "A+", IF(W20&gt;=80, "A", IF(W20&gt;=70, "B", IF(W20&gt;=50, "C", "D"))))))</f>
        <v/>
      </c>
      <c r="Z20" s="7">
        <f>IF(OR(ISBLANK(C20), V20=""), "", RANK(V20, $V$6:$V$20))</f>
        <v/>
      </c>
    </row>
    <row r="22">
      <c r="A22" t="inlineStr"/>
    </row>
    <row r="23">
      <c r="A23" s="26" t="inlineStr">
        <is>
          <t>CLASS AVERAGE</t>
        </is>
      </c>
      <c r="B23" s="27" t="n"/>
      <c r="C23" s="27" t="n"/>
      <c r="D23" s="28">
        <f>IF(COUNTA(C6:C20)&gt;0, ROUND(AVERAGE(F6:F20), 1), "-")</f>
        <v/>
      </c>
      <c r="E23" s="27" t="n"/>
      <c r="F23" s="27" t="n"/>
      <c r="G23" s="28">
        <f>IF(COUNTA(C6:C20)&gt;0, ROUND(AVERAGE(I6:I20), 1), "-")</f>
        <v/>
      </c>
      <c r="H23" s="27" t="n"/>
      <c r="I23" s="27" t="n"/>
      <c r="J23" s="28">
        <f>IF(COUNTA(C6:C20)&gt;0, ROUND(AVERAGE(L6:L20), 1), "-")</f>
        <v/>
      </c>
      <c r="K23" s="27" t="n"/>
      <c r="L23" s="27" t="n"/>
      <c r="M23" s="28">
        <f>IF(COUNTA(C6:C20)&gt;0, ROUND(AVERAGE(O6:O20), 1), "-")</f>
        <v/>
      </c>
      <c r="N23" s="27" t="n"/>
      <c r="O23" s="27" t="n"/>
      <c r="P23" s="28">
        <f>IF(COUNTA(C6:C20)&gt;0, ROUND(AVERAGE(R6:R20), 1), "-")</f>
        <v/>
      </c>
      <c r="Q23" s="27" t="n"/>
      <c r="R23" s="27" t="n"/>
      <c r="S23" s="28">
        <f>IF(COUNTA(C6:C20)&gt;0, ROUND(AVERAGE(U6:U20), 1), "-")</f>
        <v/>
      </c>
      <c r="T23" s="27" t="n"/>
      <c r="U23" s="27" t="n"/>
      <c r="V23" s="29">
        <f>IF(COUNTA(C6:C20)&gt;0, ROUND(AVERAGE(V6:V20), 1), "-")</f>
        <v/>
      </c>
      <c r="W23" s="30">
        <f>IF(COUNTA(C6:C20)&gt;0, ROUND(AVERAGE(W6:W20), 1), "-")</f>
        <v/>
      </c>
      <c r="X23" s="27" t="n"/>
      <c r="Y23" s="27" t="n"/>
      <c r="Z23" s="27" t="n"/>
    </row>
    <row r="24">
      <c r="A24" s="26" t="inlineStr">
        <is>
          <t>HIGHEST MARKS</t>
        </is>
      </c>
      <c r="B24" s="27" t="n"/>
      <c r="C24" s="27" t="n"/>
      <c r="D24" s="31">
        <f>IF(COUNTA(C6:C20)&gt;0, MAX(F6:F20), "-")</f>
        <v/>
      </c>
      <c r="E24" s="27" t="n"/>
      <c r="F24" s="27" t="n"/>
      <c r="G24" s="31">
        <f>IF(COUNTA(C6:C20)&gt;0, MAX(I6:I20), "-")</f>
        <v/>
      </c>
      <c r="H24" s="27" t="n"/>
      <c r="I24" s="27" t="n"/>
      <c r="J24" s="31">
        <f>IF(COUNTA(C6:C20)&gt;0, MAX(L6:L20), "-")</f>
        <v/>
      </c>
      <c r="K24" s="27" t="n"/>
      <c r="L24" s="27" t="n"/>
      <c r="M24" s="31">
        <f>IF(COUNTA(C6:C20)&gt;0, MAX(O6:O20), "-")</f>
        <v/>
      </c>
      <c r="N24" s="27" t="n"/>
      <c r="O24" s="27" t="n"/>
      <c r="P24" s="31">
        <f>IF(COUNTA(C6:C20)&gt;0, MAX(R6:R20), "-")</f>
        <v/>
      </c>
      <c r="Q24" s="27" t="n"/>
      <c r="R24" s="27" t="n"/>
      <c r="S24" s="31">
        <f>IF(COUNTA(C6:C20)&gt;0, MAX(U6:U20), "-")</f>
        <v/>
      </c>
      <c r="T24" s="27" t="n"/>
      <c r="U24" s="27" t="n"/>
      <c r="V24" s="32">
        <f>IF(COUNTA(C6:C20)&gt;0, MAX(V6:V20), "-")</f>
        <v/>
      </c>
      <c r="W24" s="30">
        <f>IF(COUNTA(C6:C20)&gt;0, MAX(W6:W20), "-")</f>
        <v/>
      </c>
      <c r="X24" s="27" t="n"/>
      <c r="Y24" s="27" t="n"/>
      <c r="Z24" s="27" t="n"/>
    </row>
    <row r="25">
      <c r="A25" s="26" t="inlineStr">
        <is>
          <t>LOWEST MARKS</t>
        </is>
      </c>
      <c r="B25" s="27" t="n"/>
      <c r="C25" s="27" t="n"/>
      <c r="D25" s="31">
        <f>IF(COUNTA(C6:C20)&gt;0, MIN(F6:F20), "-")</f>
        <v/>
      </c>
      <c r="E25" s="27" t="n"/>
      <c r="F25" s="27" t="n"/>
      <c r="G25" s="31">
        <f>IF(COUNTA(C6:C20)&gt;0, MIN(I6:I20), "-")</f>
        <v/>
      </c>
      <c r="H25" s="27" t="n"/>
      <c r="I25" s="27" t="n"/>
      <c r="J25" s="31">
        <f>IF(COUNTA(C6:C20)&gt;0, MIN(L6:L20), "-")</f>
        <v/>
      </c>
      <c r="K25" s="27" t="n"/>
      <c r="L25" s="27" t="n"/>
      <c r="M25" s="31">
        <f>IF(COUNTA(C6:C20)&gt;0, MIN(O6:O20), "-")</f>
        <v/>
      </c>
      <c r="N25" s="27" t="n"/>
      <c r="O25" s="27" t="n"/>
      <c r="P25" s="31">
        <f>IF(COUNTA(C6:C20)&gt;0, MIN(R6:R20), "-")</f>
        <v/>
      </c>
      <c r="Q25" s="27" t="n"/>
      <c r="R25" s="27" t="n"/>
      <c r="S25" s="31">
        <f>IF(COUNTA(C6:C20)&gt;0, MIN(U6:U20), "-")</f>
        <v/>
      </c>
      <c r="T25" s="27" t="n"/>
      <c r="U25" s="27" t="n"/>
      <c r="V25" s="32">
        <f>IF(COUNTA(C6:C20)&gt;0, MIN(V6:V20), "-")</f>
        <v/>
      </c>
      <c r="W25" s="30">
        <f>IF(COUNTA(C6:C20)&gt;0, MIN(W6:W20), "-")</f>
        <v/>
      </c>
      <c r="X25" s="27" t="n"/>
      <c r="Y25" s="27" t="n"/>
      <c r="Z25" s="27" t="n"/>
    </row>
    <row r="26">
      <c r="A26" s="26" t="inlineStr">
        <is>
          <t>TOTAL PASSED</t>
        </is>
      </c>
      <c r="B26" s="27" t="n"/>
      <c r="C26" s="27" t="n"/>
      <c r="D26" s="31">
        <f>COUNTIF(F6:F20, "&gt;=35")</f>
        <v/>
      </c>
      <c r="E26" s="27" t="n"/>
      <c r="F26" s="27" t="n"/>
      <c r="G26" s="31">
        <f>COUNTIF(I6:I20, "&gt;=35")</f>
        <v/>
      </c>
      <c r="H26" s="27" t="n"/>
      <c r="I26" s="27" t="n"/>
      <c r="J26" s="31">
        <f>COUNTIF(L6:L20, "&gt;=35")</f>
        <v/>
      </c>
      <c r="K26" s="27" t="n"/>
      <c r="L26" s="27" t="n"/>
      <c r="M26" s="31">
        <f>COUNTIF(O6:O20, "&gt;=35")</f>
        <v/>
      </c>
      <c r="N26" s="27" t="n"/>
      <c r="O26" s="27" t="n"/>
      <c r="P26" s="31">
        <f>COUNTIF(R6:R20, "&gt;=35")</f>
        <v/>
      </c>
      <c r="Q26" s="27" t="n"/>
      <c r="R26" s="27" t="n"/>
      <c r="S26" s="31">
        <f>COUNTIF(U6:U20, "&gt;=35")</f>
        <v/>
      </c>
      <c r="T26" s="27" t="n"/>
      <c r="U26" s="27" t="n"/>
      <c r="V26" s="32">
        <f>COUNTIF(X6:X20, "PASS")</f>
        <v/>
      </c>
      <c r="W26" s="31" t="n"/>
      <c r="X26" s="27" t="n"/>
      <c r="Y26" s="27" t="n"/>
      <c r="Z26" s="27" t="n"/>
    </row>
    <row r="27">
      <c r="A27" s="26" t="inlineStr">
        <is>
          <t>PASS PERCENTAGE (%)</t>
        </is>
      </c>
      <c r="B27" s="27" t="n"/>
      <c r="C27" s="27" t="n"/>
      <c r="D27" s="30">
        <f>IF(COUNTA(C6:C20)&gt;0, ROUND((D26/COUNTA(C6:C20))*100, 1), "-")</f>
        <v/>
      </c>
      <c r="E27" s="27" t="n"/>
      <c r="F27" s="27" t="n"/>
      <c r="G27" s="30">
        <f>IF(COUNTA(C6:C20)&gt;0, ROUND((G26/COUNTA(C6:C20))*100, 1), "-")</f>
        <v/>
      </c>
      <c r="H27" s="27" t="n"/>
      <c r="I27" s="27" t="n"/>
      <c r="J27" s="30">
        <f>IF(COUNTA(C6:C20)&gt;0, ROUND((J26/COUNTA(C6:C20))*100, 1), "-")</f>
        <v/>
      </c>
      <c r="K27" s="27" t="n"/>
      <c r="L27" s="27" t="n"/>
      <c r="M27" s="30">
        <f>IF(COUNTA(C6:C20)&gt;0, ROUND((M26/COUNTA(C6:C20))*100, 1), "-")</f>
        <v/>
      </c>
      <c r="N27" s="27" t="n"/>
      <c r="O27" s="27" t="n"/>
      <c r="P27" s="30">
        <f>IF(COUNTA(C6:C20)&gt;0, ROUND((P26/COUNTA(C6:C20))*100, 1), "-")</f>
        <v/>
      </c>
      <c r="Q27" s="27" t="n"/>
      <c r="R27" s="27" t="n"/>
      <c r="S27" s="30">
        <f>IF(COUNTA(C6:C20)&gt;0, ROUND((S26/COUNTA(C6:C20))*100, 1), "-")</f>
        <v/>
      </c>
      <c r="T27" s="27" t="n"/>
      <c r="U27" s="27" t="n"/>
      <c r="V27" s="33">
        <f>IF(COUNTA(C6:C20)&gt;0, ROUND((V26/COUNTA(C6:C20))*100, 1), "-")</f>
        <v/>
      </c>
      <c r="W27" s="31" t="n"/>
      <c r="X27" s="27" t="n"/>
      <c r="Y27" s="27" t="n"/>
      <c r="Z27" s="27" t="n"/>
    </row>
  </sheetData>
  <mergeCells count="51">
    <mergeCell ref="A25:C25"/>
    <mergeCell ref="J24:L24"/>
    <mergeCell ref="D27:F27"/>
    <mergeCell ref="P27:R27"/>
    <mergeCell ref="C4:C5"/>
    <mergeCell ref="S23:U23"/>
    <mergeCell ref="V4:V5"/>
    <mergeCell ref="J27:L27"/>
    <mergeCell ref="A27:C27"/>
    <mergeCell ref="J4:L4"/>
    <mergeCell ref="P23:R23"/>
    <mergeCell ref="M25:O25"/>
    <mergeCell ref="J26:L26"/>
    <mergeCell ref="A26:C26"/>
    <mergeCell ref="G24:I24"/>
    <mergeCell ref="J25:L25"/>
    <mergeCell ref="M27:O27"/>
    <mergeCell ref="A1:Z1"/>
    <mergeCell ref="A23:C23"/>
    <mergeCell ref="S24:U24"/>
    <mergeCell ref="D4:F4"/>
    <mergeCell ref="G4:I4"/>
    <mergeCell ref="G26:I26"/>
    <mergeCell ref="M26:O26"/>
    <mergeCell ref="D25:F25"/>
    <mergeCell ref="M24:O24"/>
    <mergeCell ref="D24:F24"/>
    <mergeCell ref="G25:I25"/>
    <mergeCell ref="M23:O23"/>
    <mergeCell ref="D23:F23"/>
    <mergeCell ref="P24:R24"/>
    <mergeCell ref="A4:A5"/>
    <mergeCell ref="X4:X5"/>
    <mergeCell ref="M4:O4"/>
    <mergeCell ref="S4:U4"/>
    <mergeCell ref="Z4:Z5"/>
    <mergeCell ref="J23:L23"/>
    <mergeCell ref="S26:U26"/>
    <mergeCell ref="D26:F26"/>
    <mergeCell ref="A2:Z2"/>
    <mergeCell ref="P4:R4"/>
    <mergeCell ref="S25:U25"/>
    <mergeCell ref="A24:C24"/>
    <mergeCell ref="P26:R26"/>
    <mergeCell ref="B4:B5"/>
    <mergeCell ref="P25:R25"/>
    <mergeCell ref="G27:I27"/>
    <mergeCell ref="S27:U27"/>
    <mergeCell ref="W4:W5"/>
    <mergeCell ref="Y4:Y5"/>
    <mergeCell ref="G23:I23"/>
  </mergeCells>
  <conditionalFormatting sqref="X6:X20">
    <cfRule type="cellIs" priority="1" operator="equal" dxfId="0">
      <formula>"PASS"</formula>
    </cfRule>
    <cfRule type="cellIs" priority="2" operator="equal" dxfId="1">
      <formula>"FAIL"</formula>
    </cfRule>
  </conditionalFormatting>
  <conditionalFormatting sqref="Y6:Y20">
    <cfRule type="cellIs" priority="3" operator="equal" dxfId="2">
      <formula>"A+"</formula>
    </cfRule>
  </conditionalFormatting>
  <dataValidations count="2">
    <dataValidation sqref="D6:D20 G6:G20 J6:J20 M6:M20 P6:P20 S6:S20" showDropDown="0" showInputMessage="0" showErrorMessage="0" allowBlank="1" type="whole" operator="between">
      <formula1>0</formula1>
      <formula2>80</formula2>
    </dataValidation>
    <dataValidation sqref="E6:E20 H6:H20 K6:K20 N6:N20 Q6:Q20 T6:T20" showDropDown="0" showInputMessage="0" showErrorMessage="0" allowBlank="1" type="whole" operator="between">
      <formula1>0</formula1>
      <formula2>20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24" customWidth="1" min="3" max="3"/>
    <col width="9" customWidth="1" min="4" max="4"/>
    <col width="9" customWidth="1" min="5" max="5"/>
    <col width="11" customWidth="1" min="6" max="6"/>
    <col width="9" customWidth="1" min="7" max="7"/>
    <col width="9" customWidth="1" min="8" max="8"/>
    <col width="11" customWidth="1" min="9" max="9"/>
    <col width="9" customWidth="1" min="10" max="10"/>
    <col width="9" customWidth="1" min="11" max="11"/>
    <col width="11" customWidth="1" min="12" max="12"/>
    <col width="9" customWidth="1" min="13" max="13"/>
    <col width="9" customWidth="1" min="14" max="14"/>
    <col width="11" customWidth="1" min="15" max="15"/>
    <col width="9" customWidth="1" min="16" max="16"/>
    <col width="9" customWidth="1" min="17" max="17"/>
    <col width="11" customWidth="1" min="18" max="18"/>
    <col width="9" customWidth="1" min="19" max="19"/>
    <col width="9" customWidth="1" min="20" max="20"/>
    <col width="11" customWidth="1" min="21" max="21"/>
    <col width="14" customWidth="1" min="22" max="22"/>
    <col width="13" customWidth="1" min="23" max="23"/>
    <col width="11" customWidth="1" min="24" max="24"/>
    <col width="9" customWidth="1" min="25" max="25"/>
    <col width="10" customWidth="1" min="26" max="26"/>
  </cols>
  <sheetData>
    <row r="1" ht="38" customHeight="1">
      <c r="A1" s="1" t="inlineStr">
        <is>
          <t>EVAL AI (ADEM) — GRADE 9 EXAMINATION MARK SHEET</t>
        </is>
      </c>
    </row>
    <row r="2" ht="22" customHeight="1">
      <c r="A2" s="2" t="inlineStr">
        <is>
          <t>Academic Year: 2025–2026  |  Class: Grade 9  |  Total Subjects: 6  |  Max Marks: 600  |  Pass: Min 35% in each subject</t>
        </is>
      </c>
    </row>
    <row r="3" ht="8" customHeight="1"/>
    <row r="4" ht="26" customHeight="1">
      <c r="A4" s="19" t="inlineStr">
        <is>
          <t>S.No</t>
        </is>
      </c>
      <c r="B4" s="19" t="inlineStr">
        <is>
          <t>Roll No</t>
        </is>
      </c>
      <c r="C4" s="19" t="inlineStr">
        <is>
          <t>Student Name</t>
        </is>
      </c>
      <c r="D4" s="20" t="inlineStr">
        <is>
          <t>BIOLOGY (100)</t>
        </is>
      </c>
      <c r="E4" s="21" t="n"/>
      <c r="F4" s="21" t="n"/>
      <c r="G4" s="20" t="inlineStr">
        <is>
          <t>BIOLOGY (100)</t>
        </is>
      </c>
      <c r="H4" s="21" t="n"/>
      <c r="I4" s="21" t="n"/>
      <c r="J4" s="20" t="inlineStr">
        <is>
          <t>CHEMISTRY (100)</t>
        </is>
      </c>
      <c r="K4" s="21" t="n"/>
      <c r="L4" s="21" t="n"/>
      <c r="M4" s="20" t="inlineStr">
        <is>
          <t>CHEMISTRY (100)</t>
        </is>
      </c>
      <c r="N4" s="21" t="n"/>
      <c r="O4" s="21" t="n"/>
      <c r="P4" s="20" t="inlineStr">
        <is>
          <t>MATHS (100)</t>
        </is>
      </c>
      <c r="Q4" s="21" t="n"/>
      <c r="R4" s="21" t="n"/>
      <c r="S4" s="20" t="inlineStr">
        <is>
          <t>PHYSICS (100)</t>
        </is>
      </c>
      <c r="T4" s="21" t="n"/>
      <c r="U4" s="21" t="n"/>
      <c r="V4" s="20" t="inlineStr">
        <is>
          <t>Grand Total
(600)</t>
        </is>
      </c>
      <c r="W4" s="20" t="inlineStr">
        <is>
          <t>Percentage
(%)</t>
        </is>
      </c>
      <c r="X4" s="20" t="inlineStr">
        <is>
          <t>Result</t>
        </is>
      </c>
      <c r="Y4" s="20" t="inlineStr">
        <is>
          <t>Grade</t>
        </is>
      </c>
      <c r="Z4" s="20" t="inlineStr">
        <is>
          <t>Class
Rank</t>
        </is>
      </c>
    </row>
    <row r="5" ht="28" customHeight="1">
      <c r="A5" s="21" t="n"/>
      <c r="B5" s="21" t="n"/>
      <c r="C5" s="21" t="n"/>
      <c r="D5" s="22" t="inlineStr">
        <is>
          <t>Theory
(80)</t>
        </is>
      </c>
      <c r="E5" s="22" t="inlineStr">
        <is>
          <t>Internal
(20)</t>
        </is>
      </c>
      <c r="F5" s="23" t="inlineStr">
        <is>
          <t>Total
(100)</t>
        </is>
      </c>
      <c r="G5" s="22" t="inlineStr">
        <is>
          <t>Theory
(80)</t>
        </is>
      </c>
      <c r="H5" s="22" t="inlineStr">
        <is>
          <t>Internal
(20)</t>
        </is>
      </c>
      <c r="I5" s="23" t="inlineStr">
        <is>
          <t>Total
(100)</t>
        </is>
      </c>
      <c r="J5" s="22" t="inlineStr">
        <is>
          <t>Theory
(80)</t>
        </is>
      </c>
      <c r="K5" s="22" t="inlineStr">
        <is>
          <t>Internal
(20)</t>
        </is>
      </c>
      <c r="L5" s="23" t="inlineStr">
        <is>
          <t>Total
(100)</t>
        </is>
      </c>
      <c r="M5" s="22" t="inlineStr">
        <is>
          <t>Theory
(80)</t>
        </is>
      </c>
      <c r="N5" s="22" t="inlineStr">
        <is>
          <t>Internal
(20)</t>
        </is>
      </c>
      <c r="O5" s="23" t="inlineStr">
        <is>
          <t>Total
(100)</t>
        </is>
      </c>
      <c r="P5" s="22" t="inlineStr">
        <is>
          <t>Theory
(80)</t>
        </is>
      </c>
      <c r="Q5" s="22" t="inlineStr">
        <is>
          <t>Internal
(20)</t>
        </is>
      </c>
      <c r="R5" s="23" t="inlineStr">
        <is>
          <t>Total
(100)</t>
        </is>
      </c>
      <c r="S5" s="22" t="inlineStr">
        <is>
          <t>Theory
(80)</t>
        </is>
      </c>
      <c r="T5" s="22" t="inlineStr">
        <is>
          <t>Internal
(20)</t>
        </is>
      </c>
      <c r="U5" s="23" t="inlineStr">
        <is>
          <t>Total
(100)</t>
        </is>
      </c>
      <c r="V5" s="21" t="n"/>
      <c r="W5" s="21" t="n"/>
      <c r="X5" s="21" t="n"/>
      <c r="Y5" s="21" t="n"/>
      <c r="Z5" s="21" t="n"/>
    </row>
    <row r="6">
      <c r="A6" s="5" t="inlineStr"/>
      <c r="B6" s="5" t="inlineStr"/>
      <c r="C6" s="6" t="inlineStr"/>
      <c r="D6" s="5" t="n"/>
      <c r="E6" s="5" t="n"/>
      <c r="F6" s="7">
        <f>IF(ISBLANK(C6), "", D6+E6)</f>
        <v/>
      </c>
      <c r="G6" s="5" t="n"/>
      <c r="H6" s="5" t="n"/>
      <c r="I6" s="7">
        <f>IF(ISBLANK(C6), "", G6+H6)</f>
        <v/>
      </c>
      <c r="J6" s="5" t="n"/>
      <c r="K6" s="5" t="n"/>
      <c r="L6" s="7">
        <f>IF(ISBLANK(C6), "", J6+K6)</f>
        <v/>
      </c>
      <c r="M6" s="5" t="n"/>
      <c r="N6" s="5" t="n"/>
      <c r="O6" s="7">
        <f>IF(ISBLANK(C6), "", M6+N6)</f>
        <v/>
      </c>
      <c r="P6" s="5" t="n"/>
      <c r="Q6" s="5" t="n"/>
      <c r="R6" s="7">
        <f>IF(ISBLANK(C6), "", P6+Q6)</f>
        <v/>
      </c>
      <c r="S6" s="5" t="n"/>
      <c r="T6" s="5" t="n"/>
      <c r="U6" s="7">
        <f>IF(ISBLANK(C6), "", S6+T6)</f>
        <v/>
      </c>
      <c r="V6" s="24">
        <f>IF(ISBLANK(C6), "", F6+I6+L6+O6+R6+U6)</f>
        <v/>
      </c>
      <c r="W6" s="10">
        <f>IF(OR(ISBLANK(C6), V6=""), "", ROUND((V6/600)*100, 1))</f>
        <v/>
      </c>
      <c r="X6" s="7">
        <f>IF(OR(ISBLANK(C6), V6=""), "", IF(AND(F6&gt;=35, I6&gt;=35, L6&gt;=35, O6&gt;=35, R6&gt;=35, U6&gt;=35), "PASS", "FAIL"))</f>
        <v/>
      </c>
      <c r="Y6" s="7">
        <f>IF(OR(ISBLANK(C6), X6=""), "", IF(X6="FAIL", "F", IF(W6&gt;=90, "A+", IF(W6&gt;=80, "A", IF(W6&gt;=70, "B", IF(W6&gt;=50, "C", "D"))))))</f>
        <v/>
      </c>
      <c r="Z6" s="7">
        <f>IF(OR(ISBLANK(C6), V6=""), "", RANK(V6, $V$6:$V$20))</f>
        <v/>
      </c>
    </row>
    <row r="7">
      <c r="A7" s="12" t="inlineStr"/>
      <c r="B7" s="12" t="inlineStr"/>
      <c r="C7" s="13" t="inlineStr"/>
      <c r="D7" s="12" t="n"/>
      <c r="E7" s="12" t="n"/>
      <c r="F7" s="14">
        <f>IF(ISBLANK(C7), "", D7+E7)</f>
        <v/>
      </c>
      <c r="G7" s="12" t="n"/>
      <c r="H7" s="12" t="n"/>
      <c r="I7" s="14">
        <f>IF(ISBLANK(C7), "", G7+H7)</f>
        <v/>
      </c>
      <c r="J7" s="12" t="n"/>
      <c r="K7" s="12" t="n"/>
      <c r="L7" s="14">
        <f>IF(ISBLANK(C7), "", J7+K7)</f>
        <v/>
      </c>
      <c r="M7" s="12" t="n"/>
      <c r="N7" s="12" t="n"/>
      <c r="O7" s="14">
        <f>IF(ISBLANK(C7), "", M7+N7)</f>
        <v/>
      </c>
      <c r="P7" s="12" t="n"/>
      <c r="Q7" s="12" t="n"/>
      <c r="R7" s="14">
        <f>IF(ISBLANK(C7), "", P7+Q7)</f>
        <v/>
      </c>
      <c r="S7" s="12" t="n"/>
      <c r="T7" s="12" t="n"/>
      <c r="U7" s="14">
        <f>IF(ISBLANK(C7), "", S7+T7)</f>
        <v/>
      </c>
      <c r="V7" s="25">
        <f>IF(ISBLANK(C7), "", F7+I7+L7+O7+R7+U7)</f>
        <v/>
      </c>
      <c r="W7" s="17">
        <f>IF(OR(ISBLANK(C7), V7=""), "", ROUND((V7/600)*100, 1))</f>
        <v/>
      </c>
      <c r="X7" s="14">
        <f>IF(OR(ISBLANK(C7), V7=""), "", IF(AND(F7&gt;=35, I7&gt;=35, L7&gt;=35, O7&gt;=35, R7&gt;=35, U7&gt;=35), "PASS", "FAIL"))</f>
        <v/>
      </c>
      <c r="Y7" s="14">
        <f>IF(OR(ISBLANK(C7), X7=""), "", IF(X7="FAIL", "F", IF(W7&gt;=90, "A+", IF(W7&gt;=80, "A", IF(W7&gt;=70, "B", IF(W7&gt;=50, "C", "D"))))))</f>
        <v/>
      </c>
      <c r="Z7" s="14">
        <f>IF(OR(ISBLANK(C7), V7=""), "", RANK(V7, $V$6:$V$20))</f>
        <v/>
      </c>
    </row>
    <row r="8">
      <c r="A8" s="5" t="inlineStr"/>
      <c r="B8" s="5" t="inlineStr"/>
      <c r="C8" s="6" t="inlineStr"/>
      <c r="D8" s="5" t="n"/>
      <c r="E8" s="5" t="n"/>
      <c r="F8" s="7">
        <f>IF(ISBLANK(C8), "", D8+E8)</f>
        <v/>
      </c>
      <c r="G8" s="5" t="n"/>
      <c r="H8" s="5" t="n"/>
      <c r="I8" s="7">
        <f>IF(ISBLANK(C8), "", G8+H8)</f>
        <v/>
      </c>
      <c r="J8" s="5" t="n"/>
      <c r="K8" s="5" t="n"/>
      <c r="L8" s="7">
        <f>IF(ISBLANK(C8), "", J8+K8)</f>
        <v/>
      </c>
      <c r="M8" s="5" t="n"/>
      <c r="N8" s="5" t="n"/>
      <c r="O8" s="7">
        <f>IF(ISBLANK(C8), "", M8+N8)</f>
        <v/>
      </c>
      <c r="P8" s="5" t="n"/>
      <c r="Q8" s="5" t="n"/>
      <c r="R8" s="7">
        <f>IF(ISBLANK(C8), "", P8+Q8)</f>
        <v/>
      </c>
      <c r="S8" s="5" t="n"/>
      <c r="T8" s="5" t="n"/>
      <c r="U8" s="7">
        <f>IF(ISBLANK(C8), "", S8+T8)</f>
        <v/>
      </c>
      <c r="V8" s="24">
        <f>IF(ISBLANK(C8), "", F8+I8+L8+O8+R8+U8)</f>
        <v/>
      </c>
      <c r="W8" s="10">
        <f>IF(OR(ISBLANK(C8), V8=""), "", ROUND((V8/600)*100, 1))</f>
        <v/>
      </c>
      <c r="X8" s="7">
        <f>IF(OR(ISBLANK(C8), V8=""), "", IF(AND(F8&gt;=35, I8&gt;=35, L8&gt;=35, O8&gt;=35, R8&gt;=35, U8&gt;=35), "PASS", "FAIL"))</f>
        <v/>
      </c>
      <c r="Y8" s="7">
        <f>IF(OR(ISBLANK(C8), X8=""), "", IF(X8="FAIL", "F", IF(W8&gt;=90, "A+", IF(W8&gt;=80, "A", IF(W8&gt;=70, "B", IF(W8&gt;=50, "C", "D"))))))</f>
        <v/>
      </c>
      <c r="Z8" s="7">
        <f>IF(OR(ISBLANK(C8), V8=""), "", RANK(V8, $V$6:$V$20))</f>
        <v/>
      </c>
    </row>
    <row r="9">
      <c r="A9" s="12" t="inlineStr"/>
      <c r="B9" s="12" t="inlineStr"/>
      <c r="C9" s="13" t="inlineStr"/>
      <c r="D9" s="12" t="n"/>
      <c r="E9" s="12" t="n"/>
      <c r="F9" s="14">
        <f>IF(ISBLANK(C9), "", D9+E9)</f>
        <v/>
      </c>
      <c r="G9" s="12" t="n"/>
      <c r="H9" s="12" t="n"/>
      <c r="I9" s="14">
        <f>IF(ISBLANK(C9), "", G9+H9)</f>
        <v/>
      </c>
      <c r="J9" s="12" t="n"/>
      <c r="K9" s="12" t="n"/>
      <c r="L9" s="14">
        <f>IF(ISBLANK(C9), "", J9+K9)</f>
        <v/>
      </c>
      <c r="M9" s="12" t="n"/>
      <c r="N9" s="12" t="n"/>
      <c r="O9" s="14">
        <f>IF(ISBLANK(C9), "", M9+N9)</f>
        <v/>
      </c>
      <c r="P9" s="12" t="n"/>
      <c r="Q9" s="12" t="n"/>
      <c r="R9" s="14">
        <f>IF(ISBLANK(C9), "", P9+Q9)</f>
        <v/>
      </c>
      <c r="S9" s="12" t="n"/>
      <c r="T9" s="12" t="n"/>
      <c r="U9" s="14">
        <f>IF(ISBLANK(C9), "", S9+T9)</f>
        <v/>
      </c>
      <c r="V9" s="25">
        <f>IF(ISBLANK(C9), "", F9+I9+L9+O9+R9+U9)</f>
        <v/>
      </c>
      <c r="W9" s="17">
        <f>IF(OR(ISBLANK(C9), V9=""), "", ROUND((V9/600)*100, 1))</f>
        <v/>
      </c>
      <c r="X9" s="14">
        <f>IF(OR(ISBLANK(C9), V9=""), "", IF(AND(F9&gt;=35, I9&gt;=35, L9&gt;=35, O9&gt;=35, R9&gt;=35, U9&gt;=35), "PASS", "FAIL"))</f>
        <v/>
      </c>
      <c r="Y9" s="14">
        <f>IF(OR(ISBLANK(C9), X9=""), "", IF(X9="FAIL", "F", IF(W9&gt;=90, "A+", IF(W9&gt;=80, "A", IF(W9&gt;=70, "B", IF(W9&gt;=50, "C", "D"))))))</f>
        <v/>
      </c>
      <c r="Z9" s="14">
        <f>IF(OR(ISBLANK(C9), V9=""), "", RANK(V9, $V$6:$V$20))</f>
        <v/>
      </c>
    </row>
    <row r="10">
      <c r="A10" s="5" t="inlineStr"/>
      <c r="B10" s="5" t="inlineStr"/>
      <c r="C10" s="6" t="inlineStr"/>
      <c r="D10" s="5" t="n"/>
      <c r="E10" s="5" t="n"/>
      <c r="F10" s="7">
        <f>IF(ISBLANK(C10), "", D10+E10)</f>
        <v/>
      </c>
      <c r="G10" s="5" t="n"/>
      <c r="H10" s="5" t="n"/>
      <c r="I10" s="7">
        <f>IF(ISBLANK(C10), "", G10+H10)</f>
        <v/>
      </c>
      <c r="J10" s="5" t="n"/>
      <c r="K10" s="5" t="n"/>
      <c r="L10" s="7">
        <f>IF(ISBLANK(C10), "", J10+K10)</f>
        <v/>
      </c>
      <c r="M10" s="5" t="n"/>
      <c r="N10" s="5" t="n"/>
      <c r="O10" s="7">
        <f>IF(ISBLANK(C10), "", M10+N10)</f>
        <v/>
      </c>
      <c r="P10" s="5" t="n"/>
      <c r="Q10" s="5" t="n"/>
      <c r="R10" s="7">
        <f>IF(ISBLANK(C10), "", P10+Q10)</f>
        <v/>
      </c>
      <c r="S10" s="5" t="n"/>
      <c r="T10" s="5" t="n"/>
      <c r="U10" s="7">
        <f>IF(ISBLANK(C10), "", S10+T10)</f>
        <v/>
      </c>
      <c r="V10" s="24">
        <f>IF(ISBLANK(C10), "", F10+I10+L10+O10+R10+U10)</f>
        <v/>
      </c>
      <c r="W10" s="10">
        <f>IF(OR(ISBLANK(C10), V10=""), "", ROUND((V10/600)*100, 1))</f>
        <v/>
      </c>
      <c r="X10" s="7">
        <f>IF(OR(ISBLANK(C10), V10=""), "", IF(AND(F10&gt;=35, I10&gt;=35, L10&gt;=35, O10&gt;=35, R10&gt;=35, U10&gt;=35), "PASS", "FAIL"))</f>
        <v/>
      </c>
      <c r="Y10" s="7">
        <f>IF(OR(ISBLANK(C10), X10=""), "", IF(X10="FAIL", "F", IF(W10&gt;=90, "A+", IF(W10&gt;=80, "A", IF(W10&gt;=70, "B", IF(W10&gt;=50, "C", "D"))))))</f>
        <v/>
      </c>
      <c r="Z10" s="7">
        <f>IF(OR(ISBLANK(C10), V10=""), "", RANK(V10, $V$6:$V$20))</f>
        <v/>
      </c>
    </row>
    <row r="11">
      <c r="A11" s="12" t="inlineStr"/>
      <c r="B11" s="12" t="inlineStr"/>
      <c r="C11" s="13" t="inlineStr"/>
      <c r="D11" s="12" t="n"/>
      <c r="E11" s="12" t="n"/>
      <c r="F11" s="14">
        <f>IF(ISBLANK(C11), "", D11+E11)</f>
        <v/>
      </c>
      <c r="G11" s="12" t="n"/>
      <c r="H11" s="12" t="n"/>
      <c r="I11" s="14">
        <f>IF(ISBLANK(C11), "", G11+H11)</f>
        <v/>
      </c>
      <c r="J11" s="12" t="n"/>
      <c r="K11" s="12" t="n"/>
      <c r="L11" s="14">
        <f>IF(ISBLANK(C11), "", J11+K11)</f>
        <v/>
      </c>
      <c r="M11" s="12" t="n"/>
      <c r="N11" s="12" t="n"/>
      <c r="O11" s="14">
        <f>IF(ISBLANK(C11), "", M11+N11)</f>
        <v/>
      </c>
      <c r="P11" s="12" t="n"/>
      <c r="Q11" s="12" t="n"/>
      <c r="R11" s="14">
        <f>IF(ISBLANK(C11), "", P11+Q11)</f>
        <v/>
      </c>
      <c r="S11" s="12" t="n"/>
      <c r="T11" s="12" t="n"/>
      <c r="U11" s="14">
        <f>IF(ISBLANK(C11), "", S11+T11)</f>
        <v/>
      </c>
      <c r="V11" s="25">
        <f>IF(ISBLANK(C11), "", F11+I11+L11+O11+R11+U11)</f>
        <v/>
      </c>
      <c r="W11" s="17">
        <f>IF(OR(ISBLANK(C11), V11=""), "", ROUND((V11/600)*100, 1))</f>
        <v/>
      </c>
      <c r="X11" s="14">
        <f>IF(OR(ISBLANK(C11), V11=""), "", IF(AND(F11&gt;=35, I11&gt;=35, L11&gt;=35, O11&gt;=35, R11&gt;=35, U11&gt;=35), "PASS", "FAIL"))</f>
        <v/>
      </c>
      <c r="Y11" s="14">
        <f>IF(OR(ISBLANK(C11), X11=""), "", IF(X11="FAIL", "F", IF(W11&gt;=90, "A+", IF(W11&gt;=80, "A", IF(W11&gt;=70, "B", IF(W11&gt;=50, "C", "D"))))))</f>
        <v/>
      </c>
      <c r="Z11" s="14">
        <f>IF(OR(ISBLANK(C11), V11=""), "", RANK(V11, $V$6:$V$20))</f>
        <v/>
      </c>
    </row>
    <row r="12">
      <c r="A12" s="5" t="inlineStr"/>
      <c r="B12" s="5" t="inlineStr"/>
      <c r="C12" s="6" t="inlineStr"/>
      <c r="D12" s="5" t="n"/>
      <c r="E12" s="5" t="n"/>
      <c r="F12" s="7">
        <f>IF(ISBLANK(C12), "", D12+E12)</f>
        <v/>
      </c>
      <c r="G12" s="5" t="n"/>
      <c r="H12" s="5" t="n"/>
      <c r="I12" s="7">
        <f>IF(ISBLANK(C12), "", G12+H12)</f>
        <v/>
      </c>
      <c r="J12" s="5" t="n"/>
      <c r="K12" s="5" t="n"/>
      <c r="L12" s="7">
        <f>IF(ISBLANK(C12), "", J12+K12)</f>
        <v/>
      </c>
      <c r="M12" s="5" t="n"/>
      <c r="N12" s="5" t="n"/>
      <c r="O12" s="7">
        <f>IF(ISBLANK(C12), "", M12+N12)</f>
        <v/>
      </c>
      <c r="P12" s="5" t="n"/>
      <c r="Q12" s="5" t="n"/>
      <c r="R12" s="7">
        <f>IF(ISBLANK(C12), "", P12+Q12)</f>
        <v/>
      </c>
      <c r="S12" s="5" t="n"/>
      <c r="T12" s="5" t="n"/>
      <c r="U12" s="7">
        <f>IF(ISBLANK(C12), "", S12+T12)</f>
        <v/>
      </c>
      <c r="V12" s="24">
        <f>IF(ISBLANK(C12), "", F12+I12+L12+O12+R12+U12)</f>
        <v/>
      </c>
      <c r="W12" s="10">
        <f>IF(OR(ISBLANK(C12), V12=""), "", ROUND((V12/600)*100, 1))</f>
        <v/>
      </c>
      <c r="X12" s="7">
        <f>IF(OR(ISBLANK(C12), V12=""), "", IF(AND(F12&gt;=35, I12&gt;=35, L12&gt;=35, O12&gt;=35, R12&gt;=35, U12&gt;=35), "PASS", "FAIL"))</f>
        <v/>
      </c>
      <c r="Y12" s="7">
        <f>IF(OR(ISBLANK(C12), X12=""), "", IF(X12="FAIL", "F", IF(W12&gt;=90, "A+", IF(W12&gt;=80, "A", IF(W12&gt;=70, "B", IF(W12&gt;=50, "C", "D"))))))</f>
        <v/>
      </c>
      <c r="Z12" s="7">
        <f>IF(OR(ISBLANK(C12), V12=""), "", RANK(V12, $V$6:$V$20))</f>
        <v/>
      </c>
    </row>
    <row r="13">
      <c r="A13" s="12" t="inlineStr"/>
      <c r="B13" s="12" t="inlineStr"/>
      <c r="C13" s="13" t="inlineStr"/>
      <c r="D13" s="12" t="n"/>
      <c r="E13" s="12" t="n"/>
      <c r="F13" s="14">
        <f>IF(ISBLANK(C13), "", D13+E13)</f>
        <v/>
      </c>
      <c r="G13" s="12" t="n"/>
      <c r="H13" s="12" t="n"/>
      <c r="I13" s="14">
        <f>IF(ISBLANK(C13), "", G13+H13)</f>
        <v/>
      </c>
      <c r="J13" s="12" t="n"/>
      <c r="K13" s="12" t="n"/>
      <c r="L13" s="14">
        <f>IF(ISBLANK(C13), "", J13+K13)</f>
        <v/>
      </c>
      <c r="M13" s="12" t="n"/>
      <c r="N13" s="12" t="n"/>
      <c r="O13" s="14">
        <f>IF(ISBLANK(C13), "", M13+N13)</f>
        <v/>
      </c>
      <c r="P13" s="12" t="n"/>
      <c r="Q13" s="12" t="n"/>
      <c r="R13" s="14">
        <f>IF(ISBLANK(C13), "", P13+Q13)</f>
        <v/>
      </c>
      <c r="S13" s="12" t="n"/>
      <c r="T13" s="12" t="n"/>
      <c r="U13" s="14">
        <f>IF(ISBLANK(C13), "", S13+T13)</f>
        <v/>
      </c>
      <c r="V13" s="25">
        <f>IF(ISBLANK(C13), "", F13+I13+L13+O13+R13+U13)</f>
        <v/>
      </c>
      <c r="W13" s="17">
        <f>IF(OR(ISBLANK(C13), V13=""), "", ROUND((V13/600)*100, 1))</f>
        <v/>
      </c>
      <c r="X13" s="14">
        <f>IF(OR(ISBLANK(C13), V13=""), "", IF(AND(F13&gt;=35, I13&gt;=35, L13&gt;=35, O13&gt;=35, R13&gt;=35, U13&gt;=35), "PASS", "FAIL"))</f>
        <v/>
      </c>
      <c r="Y13" s="14">
        <f>IF(OR(ISBLANK(C13), X13=""), "", IF(X13="FAIL", "F", IF(W13&gt;=90, "A+", IF(W13&gt;=80, "A", IF(W13&gt;=70, "B", IF(W13&gt;=50, "C", "D"))))))</f>
        <v/>
      </c>
      <c r="Z13" s="14">
        <f>IF(OR(ISBLANK(C13), V13=""), "", RANK(V13, $V$6:$V$20))</f>
        <v/>
      </c>
    </row>
    <row r="14">
      <c r="A14" s="5" t="inlineStr"/>
      <c r="B14" s="5" t="inlineStr"/>
      <c r="C14" s="6" t="inlineStr"/>
      <c r="D14" s="5" t="n"/>
      <c r="E14" s="5" t="n"/>
      <c r="F14" s="7">
        <f>IF(ISBLANK(C14), "", D14+E14)</f>
        <v/>
      </c>
      <c r="G14" s="5" t="n"/>
      <c r="H14" s="5" t="n"/>
      <c r="I14" s="7">
        <f>IF(ISBLANK(C14), "", G14+H14)</f>
        <v/>
      </c>
      <c r="J14" s="5" t="n"/>
      <c r="K14" s="5" t="n"/>
      <c r="L14" s="7">
        <f>IF(ISBLANK(C14), "", J14+K14)</f>
        <v/>
      </c>
      <c r="M14" s="5" t="n"/>
      <c r="N14" s="5" t="n"/>
      <c r="O14" s="7">
        <f>IF(ISBLANK(C14), "", M14+N14)</f>
        <v/>
      </c>
      <c r="P14" s="5" t="n"/>
      <c r="Q14" s="5" t="n"/>
      <c r="R14" s="7">
        <f>IF(ISBLANK(C14), "", P14+Q14)</f>
        <v/>
      </c>
      <c r="S14" s="5" t="n"/>
      <c r="T14" s="5" t="n"/>
      <c r="U14" s="7">
        <f>IF(ISBLANK(C14), "", S14+T14)</f>
        <v/>
      </c>
      <c r="V14" s="24">
        <f>IF(ISBLANK(C14), "", F14+I14+L14+O14+R14+U14)</f>
        <v/>
      </c>
      <c r="W14" s="10">
        <f>IF(OR(ISBLANK(C14), V14=""), "", ROUND((V14/600)*100, 1))</f>
        <v/>
      </c>
      <c r="X14" s="7">
        <f>IF(OR(ISBLANK(C14), V14=""), "", IF(AND(F14&gt;=35, I14&gt;=35, L14&gt;=35, O14&gt;=35, R14&gt;=35, U14&gt;=35), "PASS", "FAIL"))</f>
        <v/>
      </c>
      <c r="Y14" s="7">
        <f>IF(OR(ISBLANK(C14), X14=""), "", IF(X14="FAIL", "F", IF(W14&gt;=90, "A+", IF(W14&gt;=80, "A", IF(W14&gt;=70, "B", IF(W14&gt;=50, "C", "D"))))))</f>
        <v/>
      </c>
      <c r="Z14" s="7">
        <f>IF(OR(ISBLANK(C14), V14=""), "", RANK(V14, $V$6:$V$20))</f>
        <v/>
      </c>
    </row>
    <row r="15">
      <c r="A15" s="12" t="inlineStr"/>
      <c r="B15" s="12" t="inlineStr"/>
      <c r="C15" s="13" t="inlineStr"/>
      <c r="D15" s="12" t="n"/>
      <c r="E15" s="12" t="n"/>
      <c r="F15" s="14">
        <f>IF(ISBLANK(C15), "", D15+E15)</f>
        <v/>
      </c>
      <c r="G15" s="12" t="n"/>
      <c r="H15" s="12" t="n"/>
      <c r="I15" s="14">
        <f>IF(ISBLANK(C15), "", G15+H15)</f>
        <v/>
      </c>
      <c r="J15" s="12" t="n"/>
      <c r="K15" s="12" t="n"/>
      <c r="L15" s="14">
        <f>IF(ISBLANK(C15), "", J15+K15)</f>
        <v/>
      </c>
      <c r="M15" s="12" t="n"/>
      <c r="N15" s="12" t="n"/>
      <c r="O15" s="14">
        <f>IF(ISBLANK(C15), "", M15+N15)</f>
        <v/>
      </c>
      <c r="P15" s="12" t="n"/>
      <c r="Q15" s="12" t="n"/>
      <c r="R15" s="14">
        <f>IF(ISBLANK(C15), "", P15+Q15)</f>
        <v/>
      </c>
      <c r="S15" s="12" t="n"/>
      <c r="T15" s="12" t="n"/>
      <c r="U15" s="14">
        <f>IF(ISBLANK(C15), "", S15+T15)</f>
        <v/>
      </c>
      <c r="V15" s="25">
        <f>IF(ISBLANK(C15), "", F15+I15+L15+O15+R15+U15)</f>
        <v/>
      </c>
      <c r="W15" s="17">
        <f>IF(OR(ISBLANK(C15), V15=""), "", ROUND((V15/600)*100, 1))</f>
        <v/>
      </c>
      <c r="X15" s="14">
        <f>IF(OR(ISBLANK(C15), V15=""), "", IF(AND(F15&gt;=35, I15&gt;=35, L15&gt;=35, O15&gt;=35, R15&gt;=35, U15&gt;=35), "PASS", "FAIL"))</f>
        <v/>
      </c>
      <c r="Y15" s="14">
        <f>IF(OR(ISBLANK(C15), X15=""), "", IF(X15="FAIL", "F", IF(W15&gt;=90, "A+", IF(W15&gt;=80, "A", IF(W15&gt;=70, "B", IF(W15&gt;=50, "C", "D"))))))</f>
        <v/>
      </c>
      <c r="Z15" s="14">
        <f>IF(OR(ISBLANK(C15), V15=""), "", RANK(V15, $V$6:$V$20))</f>
        <v/>
      </c>
    </row>
    <row r="16">
      <c r="A16" s="5" t="inlineStr"/>
      <c r="B16" s="5" t="inlineStr"/>
      <c r="C16" s="6" t="inlineStr"/>
      <c r="D16" s="5" t="n"/>
      <c r="E16" s="5" t="n"/>
      <c r="F16" s="7">
        <f>IF(ISBLANK(C16), "", D16+E16)</f>
        <v/>
      </c>
      <c r="G16" s="5" t="n"/>
      <c r="H16" s="5" t="n"/>
      <c r="I16" s="7">
        <f>IF(ISBLANK(C16), "", G16+H16)</f>
        <v/>
      </c>
      <c r="J16" s="5" t="n"/>
      <c r="K16" s="5" t="n"/>
      <c r="L16" s="7">
        <f>IF(ISBLANK(C16), "", J16+K16)</f>
        <v/>
      </c>
      <c r="M16" s="5" t="n"/>
      <c r="N16" s="5" t="n"/>
      <c r="O16" s="7">
        <f>IF(ISBLANK(C16), "", M16+N16)</f>
        <v/>
      </c>
      <c r="P16" s="5" t="n"/>
      <c r="Q16" s="5" t="n"/>
      <c r="R16" s="7">
        <f>IF(ISBLANK(C16), "", P16+Q16)</f>
        <v/>
      </c>
      <c r="S16" s="5" t="n"/>
      <c r="T16" s="5" t="n"/>
      <c r="U16" s="7">
        <f>IF(ISBLANK(C16), "", S16+T16)</f>
        <v/>
      </c>
      <c r="V16" s="24">
        <f>IF(ISBLANK(C16), "", F16+I16+L16+O16+R16+U16)</f>
        <v/>
      </c>
      <c r="W16" s="10">
        <f>IF(OR(ISBLANK(C16), V16=""), "", ROUND((V16/600)*100, 1))</f>
        <v/>
      </c>
      <c r="X16" s="7">
        <f>IF(OR(ISBLANK(C16), V16=""), "", IF(AND(F16&gt;=35, I16&gt;=35, L16&gt;=35, O16&gt;=35, R16&gt;=35, U16&gt;=35), "PASS", "FAIL"))</f>
        <v/>
      </c>
      <c r="Y16" s="7">
        <f>IF(OR(ISBLANK(C16), X16=""), "", IF(X16="FAIL", "F", IF(W16&gt;=90, "A+", IF(W16&gt;=80, "A", IF(W16&gt;=70, "B", IF(W16&gt;=50, "C", "D"))))))</f>
        <v/>
      </c>
      <c r="Z16" s="7">
        <f>IF(OR(ISBLANK(C16), V16=""), "", RANK(V16, $V$6:$V$20))</f>
        <v/>
      </c>
    </row>
    <row r="17">
      <c r="A17" s="12" t="inlineStr"/>
      <c r="B17" s="12" t="inlineStr"/>
      <c r="C17" s="13" t="inlineStr"/>
      <c r="D17" s="12" t="n"/>
      <c r="E17" s="12" t="n"/>
      <c r="F17" s="14">
        <f>IF(ISBLANK(C17), "", D17+E17)</f>
        <v/>
      </c>
      <c r="G17" s="12" t="n"/>
      <c r="H17" s="12" t="n"/>
      <c r="I17" s="14">
        <f>IF(ISBLANK(C17), "", G17+H17)</f>
        <v/>
      </c>
      <c r="J17" s="12" t="n"/>
      <c r="K17" s="12" t="n"/>
      <c r="L17" s="14">
        <f>IF(ISBLANK(C17), "", J17+K17)</f>
        <v/>
      </c>
      <c r="M17" s="12" t="n"/>
      <c r="N17" s="12" t="n"/>
      <c r="O17" s="14">
        <f>IF(ISBLANK(C17), "", M17+N17)</f>
        <v/>
      </c>
      <c r="P17" s="12" t="n"/>
      <c r="Q17" s="12" t="n"/>
      <c r="R17" s="14">
        <f>IF(ISBLANK(C17), "", P17+Q17)</f>
        <v/>
      </c>
      <c r="S17" s="12" t="n"/>
      <c r="T17" s="12" t="n"/>
      <c r="U17" s="14">
        <f>IF(ISBLANK(C17), "", S17+T17)</f>
        <v/>
      </c>
      <c r="V17" s="25">
        <f>IF(ISBLANK(C17), "", F17+I17+L17+O17+R17+U17)</f>
        <v/>
      </c>
      <c r="W17" s="17">
        <f>IF(OR(ISBLANK(C17), V17=""), "", ROUND((V17/600)*100, 1))</f>
        <v/>
      </c>
      <c r="X17" s="14">
        <f>IF(OR(ISBLANK(C17), V17=""), "", IF(AND(F17&gt;=35, I17&gt;=35, L17&gt;=35, O17&gt;=35, R17&gt;=35, U17&gt;=35), "PASS", "FAIL"))</f>
        <v/>
      </c>
      <c r="Y17" s="14">
        <f>IF(OR(ISBLANK(C17), X17=""), "", IF(X17="FAIL", "F", IF(W17&gt;=90, "A+", IF(W17&gt;=80, "A", IF(W17&gt;=70, "B", IF(W17&gt;=50, "C", "D"))))))</f>
        <v/>
      </c>
      <c r="Z17" s="14">
        <f>IF(OR(ISBLANK(C17), V17=""), "", RANK(V17, $V$6:$V$20))</f>
        <v/>
      </c>
    </row>
    <row r="18">
      <c r="A18" s="5" t="inlineStr"/>
      <c r="B18" s="5" t="inlineStr"/>
      <c r="C18" s="6" t="inlineStr"/>
      <c r="D18" s="5" t="n"/>
      <c r="E18" s="5" t="n"/>
      <c r="F18" s="7">
        <f>IF(ISBLANK(C18), "", D18+E18)</f>
        <v/>
      </c>
      <c r="G18" s="5" t="n"/>
      <c r="H18" s="5" t="n"/>
      <c r="I18" s="7">
        <f>IF(ISBLANK(C18), "", G18+H18)</f>
        <v/>
      </c>
      <c r="J18" s="5" t="n"/>
      <c r="K18" s="5" t="n"/>
      <c r="L18" s="7">
        <f>IF(ISBLANK(C18), "", J18+K18)</f>
        <v/>
      </c>
      <c r="M18" s="5" t="n"/>
      <c r="N18" s="5" t="n"/>
      <c r="O18" s="7">
        <f>IF(ISBLANK(C18), "", M18+N18)</f>
        <v/>
      </c>
      <c r="P18" s="5" t="n"/>
      <c r="Q18" s="5" t="n"/>
      <c r="R18" s="7">
        <f>IF(ISBLANK(C18), "", P18+Q18)</f>
        <v/>
      </c>
      <c r="S18" s="5" t="n"/>
      <c r="T18" s="5" t="n"/>
      <c r="U18" s="7">
        <f>IF(ISBLANK(C18), "", S18+T18)</f>
        <v/>
      </c>
      <c r="V18" s="24">
        <f>IF(ISBLANK(C18), "", F18+I18+L18+O18+R18+U18)</f>
        <v/>
      </c>
      <c r="W18" s="10">
        <f>IF(OR(ISBLANK(C18), V18=""), "", ROUND((V18/600)*100, 1))</f>
        <v/>
      </c>
      <c r="X18" s="7">
        <f>IF(OR(ISBLANK(C18), V18=""), "", IF(AND(F18&gt;=35, I18&gt;=35, L18&gt;=35, O18&gt;=35, R18&gt;=35, U18&gt;=35), "PASS", "FAIL"))</f>
        <v/>
      </c>
      <c r="Y18" s="7">
        <f>IF(OR(ISBLANK(C18), X18=""), "", IF(X18="FAIL", "F", IF(W18&gt;=90, "A+", IF(W18&gt;=80, "A", IF(W18&gt;=70, "B", IF(W18&gt;=50, "C", "D"))))))</f>
        <v/>
      </c>
      <c r="Z18" s="7">
        <f>IF(OR(ISBLANK(C18), V18=""), "", RANK(V18, $V$6:$V$20))</f>
        <v/>
      </c>
    </row>
    <row r="19">
      <c r="A19" s="12" t="inlineStr"/>
      <c r="B19" s="12" t="inlineStr"/>
      <c r="C19" s="13" t="inlineStr"/>
      <c r="D19" s="12" t="n"/>
      <c r="E19" s="12" t="n"/>
      <c r="F19" s="14">
        <f>IF(ISBLANK(C19), "", D19+E19)</f>
        <v/>
      </c>
      <c r="G19" s="12" t="n"/>
      <c r="H19" s="12" t="n"/>
      <c r="I19" s="14">
        <f>IF(ISBLANK(C19), "", G19+H19)</f>
        <v/>
      </c>
      <c r="J19" s="12" t="n"/>
      <c r="K19" s="12" t="n"/>
      <c r="L19" s="14">
        <f>IF(ISBLANK(C19), "", J19+K19)</f>
        <v/>
      </c>
      <c r="M19" s="12" t="n"/>
      <c r="N19" s="12" t="n"/>
      <c r="O19" s="14">
        <f>IF(ISBLANK(C19), "", M19+N19)</f>
        <v/>
      </c>
      <c r="P19" s="12" t="n"/>
      <c r="Q19" s="12" t="n"/>
      <c r="R19" s="14">
        <f>IF(ISBLANK(C19), "", P19+Q19)</f>
        <v/>
      </c>
      <c r="S19" s="12" t="n"/>
      <c r="T19" s="12" t="n"/>
      <c r="U19" s="14">
        <f>IF(ISBLANK(C19), "", S19+T19)</f>
        <v/>
      </c>
      <c r="V19" s="25">
        <f>IF(ISBLANK(C19), "", F19+I19+L19+O19+R19+U19)</f>
        <v/>
      </c>
      <c r="W19" s="17">
        <f>IF(OR(ISBLANK(C19), V19=""), "", ROUND((V19/600)*100, 1))</f>
        <v/>
      </c>
      <c r="X19" s="14">
        <f>IF(OR(ISBLANK(C19), V19=""), "", IF(AND(F19&gt;=35, I19&gt;=35, L19&gt;=35, O19&gt;=35, R19&gt;=35, U19&gt;=35), "PASS", "FAIL"))</f>
        <v/>
      </c>
      <c r="Y19" s="14">
        <f>IF(OR(ISBLANK(C19), X19=""), "", IF(X19="FAIL", "F", IF(W19&gt;=90, "A+", IF(W19&gt;=80, "A", IF(W19&gt;=70, "B", IF(W19&gt;=50, "C", "D"))))))</f>
        <v/>
      </c>
      <c r="Z19" s="14">
        <f>IF(OR(ISBLANK(C19), V19=""), "", RANK(V19, $V$6:$V$20))</f>
        <v/>
      </c>
    </row>
    <row r="20">
      <c r="A20" s="5" t="inlineStr"/>
      <c r="B20" s="5" t="inlineStr"/>
      <c r="C20" s="6" t="inlineStr"/>
      <c r="D20" s="5" t="n"/>
      <c r="E20" s="5" t="n"/>
      <c r="F20" s="7">
        <f>IF(ISBLANK(C20), "", D20+E20)</f>
        <v/>
      </c>
      <c r="G20" s="5" t="n"/>
      <c r="H20" s="5" t="n"/>
      <c r="I20" s="7">
        <f>IF(ISBLANK(C20), "", G20+H20)</f>
        <v/>
      </c>
      <c r="J20" s="5" t="n"/>
      <c r="K20" s="5" t="n"/>
      <c r="L20" s="7">
        <f>IF(ISBLANK(C20), "", J20+K20)</f>
        <v/>
      </c>
      <c r="M20" s="5" t="n"/>
      <c r="N20" s="5" t="n"/>
      <c r="O20" s="7">
        <f>IF(ISBLANK(C20), "", M20+N20)</f>
        <v/>
      </c>
      <c r="P20" s="5" t="n"/>
      <c r="Q20" s="5" t="n"/>
      <c r="R20" s="7">
        <f>IF(ISBLANK(C20), "", P20+Q20)</f>
        <v/>
      </c>
      <c r="S20" s="5" t="n"/>
      <c r="T20" s="5" t="n"/>
      <c r="U20" s="7">
        <f>IF(ISBLANK(C20), "", S20+T20)</f>
        <v/>
      </c>
      <c r="V20" s="24">
        <f>IF(ISBLANK(C20), "", F20+I20+L20+O20+R20+U20)</f>
        <v/>
      </c>
      <c r="W20" s="10">
        <f>IF(OR(ISBLANK(C20), V20=""), "", ROUND((V20/600)*100, 1))</f>
        <v/>
      </c>
      <c r="X20" s="7">
        <f>IF(OR(ISBLANK(C20), V20=""), "", IF(AND(F20&gt;=35, I20&gt;=35, L20&gt;=35, O20&gt;=35, R20&gt;=35, U20&gt;=35), "PASS", "FAIL"))</f>
        <v/>
      </c>
      <c r="Y20" s="7">
        <f>IF(OR(ISBLANK(C20), X20=""), "", IF(X20="FAIL", "F", IF(W20&gt;=90, "A+", IF(W20&gt;=80, "A", IF(W20&gt;=70, "B", IF(W20&gt;=50, "C", "D"))))))</f>
        <v/>
      </c>
      <c r="Z20" s="7">
        <f>IF(OR(ISBLANK(C20), V20=""), "", RANK(V20, $V$6:$V$20))</f>
        <v/>
      </c>
    </row>
    <row r="22">
      <c r="A22" t="inlineStr"/>
    </row>
    <row r="23">
      <c r="A23" s="26" t="inlineStr">
        <is>
          <t>CLASS AVERAGE</t>
        </is>
      </c>
      <c r="B23" s="27" t="n"/>
      <c r="C23" s="27" t="n"/>
      <c r="D23" s="28">
        <f>IF(COUNTA(C6:C20)&gt;0, ROUND(AVERAGE(F6:F20), 1), "-")</f>
        <v/>
      </c>
      <c r="E23" s="27" t="n"/>
      <c r="F23" s="27" t="n"/>
      <c r="G23" s="28">
        <f>IF(COUNTA(C6:C20)&gt;0, ROUND(AVERAGE(I6:I20), 1), "-")</f>
        <v/>
      </c>
      <c r="H23" s="27" t="n"/>
      <c r="I23" s="27" t="n"/>
      <c r="J23" s="28">
        <f>IF(COUNTA(C6:C20)&gt;0, ROUND(AVERAGE(L6:L20), 1), "-")</f>
        <v/>
      </c>
      <c r="K23" s="27" t="n"/>
      <c r="L23" s="27" t="n"/>
      <c r="M23" s="28">
        <f>IF(COUNTA(C6:C20)&gt;0, ROUND(AVERAGE(O6:O20), 1), "-")</f>
        <v/>
      </c>
      <c r="N23" s="27" t="n"/>
      <c r="O23" s="27" t="n"/>
      <c r="P23" s="28">
        <f>IF(COUNTA(C6:C20)&gt;0, ROUND(AVERAGE(R6:R20), 1), "-")</f>
        <v/>
      </c>
      <c r="Q23" s="27" t="n"/>
      <c r="R23" s="27" t="n"/>
      <c r="S23" s="28">
        <f>IF(COUNTA(C6:C20)&gt;0, ROUND(AVERAGE(U6:U20), 1), "-")</f>
        <v/>
      </c>
      <c r="T23" s="27" t="n"/>
      <c r="U23" s="27" t="n"/>
      <c r="V23" s="29">
        <f>IF(COUNTA(C6:C20)&gt;0, ROUND(AVERAGE(V6:V20), 1), "-")</f>
        <v/>
      </c>
      <c r="W23" s="30">
        <f>IF(COUNTA(C6:C20)&gt;0, ROUND(AVERAGE(W6:W20), 1), "-")</f>
        <v/>
      </c>
      <c r="X23" s="27" t="n"/>
      <c r="Y23" s="27" t="n"/>
      <c r="Z23" s="27" t="n"/>
    </row>
    <row r="24">
      <c r="A24" s="26" t="inlineStr">
        <is>
          <t>HIGHEST MARKS</t>
        </is>
      </c>
      <c r="B24" s="27" t="n"/>
      <c r="C24" s="27" t="n"/>
      <c r="D24" s="31">
        <f>IF(COUNTA(C6:C20)&gt;0, MAX(F6:F20), "-")</f>
        <v/>
      </c>
      <c r="E24" s="27" t="n"/>
      <c r="F24" s="27" t="n"/>
      <c r="G24" s="31">
        <f>IF(COUNTA(C6:C20)&gt;0, MAX(I6:I20), "-")</f>
        <v/>
      </c>
      <c r="H24" s="27" t="n"/>
      <c r="I24" s="27" t="n"/>
      <c r="J24" s="31">
        <f>IF(COUNTA(C6:C20)&gt;0, MAX(L6:L20), "-")</f>
        <v/>
      </c>
      <c r="K24" s="27" t="n"/>
      <c r="L24" s="27" t="n"/>
      <c r="M24" s="31">
        <f>IF(COUNTA(C6:C20)&gt;0, MAX(O6:O20), "-")</f>
        <v/>
      </c>
      <c r="N24" s="27" t="n"/>
      <c r="O24" s="27" t="n"/>
      <c r="P24" s="31">
        <f>IF(COUNTA(C6:C20)&gt;0, MAX(R6:R20), "-")</f>
        <v/>
      </c>
      <c r="Q24" s="27" t="n"/>
      <c r="R24" s="27" t="n"/>
      <c r="S24" s="31">
        <f>IF(COUNTA(C6:C20)&gt;0, MAX(U6:U20), "-")</f>
        <v/>
      </c>
      <c r="T24" s="27" t="n"/>
      <c r="U24" s="27" t="n"/>
      <c r="V24" s="32">
        <f>IF(COUNTA(C6:C20)&gt;0, MAX(V6:V20), "-")</f>
        <v/>
      </c>
      <c r="W24" s="30">
        <f>IF(COUNTA(C6:C20)&gt;0, MAX(W6:W20), "-")</f>
        <v/>
      </c>
      <c r="X24" s="27" t="n"/>
      <c r="Y24" s="27" t="n"/>
      <c r="Z24" s="27" t="n"/>
    </row>
    <row r="25">
      <c r="A25" s="26" t="inlineStr">
        <is>
          <t>LOWEST MARKS</t>
        </is>
      </c>
      <c r="B25" s="27" t="n"/>
      <c r="C25" s="27" t="n"/>
      <c r="D25" s="31">
        <f>IF(COUNTA(C6:C20)&gt;0, MIN(F6:F20), "-")</f>
        <v/>
      </c>
      <c r="E25" s="27" t="n"/>
      <c r="F25" s="27" t="n"/>
      <c r="G25" s="31">
        <f>IF(COUNTA(C6:C20)&gt;0, MIN(I6:I20), "-")</f>
        <v/>
      </c>
      <c r="H25" s="27" t="n"/>
      <c r="I25" s="27" t="n"/>
      <c r="J25" s="31">
        <f>IF(COUNTA(C6:C20)&gt;0, MIN(L6:L20), "-")</f>
        <v/>
      </c>
      <c r="K25" s="27" t="n"/>
      <c r="L25" s="27" t="n"/>
      <c r="M25" s="31">
        <f>IF(COUNTA(C6:C20)&gt;0, MIN(O6:O20), "-")</f>
        <v/>
      </c>
      <c r="N25" s="27" t="n"/>
      <c r="O25" s="27" t="n"/>
      <c r="P25" s="31">
        <f>IF(COUNTA(C6:C20)&gt;0, MIN(R6:R20), "-")</f>
        <v/>
      </c>
      <c r="Q25" s="27" t="n"/>
      <c r="R25" s="27" t="n"/>
      <c r="S25" s="31">
        <f>IF(COUNTA(C6:C20)&gt;0, MIN(U6:U20), "-")</f>
        <v/>
      </c>
      <c r="T25" s="27" t="n"/>
      <c r="U25" s="27" t="n"/>
      <c r="V25" s="32">
        <f>IF(COUNTA(C6:C20)&gt;0, MIN(V6:V20), "-")</f>
        <v/>
      </c>
      <c r="W25" s="30">
        <f>IF(COUNTA(C6:C20)&gt;0, MIN(W6:W20), "-")</f>
        <v/>
      </c>
      <c r="X25" s="27" t="n"/>
      <c r="Y25" s="27" t="n"/>
      <c r="Z25" s="27" t="n"/>
    </row>
    <row r="26">
      <c r="A26" s="26" t="inlineStr">
        <is>
          <t>TOTAL PASSED</t>
        </is>
      </c>
      <c r="B26" s="27" t="n"/>
      <c r="C26" s="27" t="n"/>
      <c r="D26" s="31">
        <f>COUNTIF(F6:F20, "&gt;=35")</f>
        <v/>
      </c>
      <c r="E26" s="27" t="n"/>
      <c r="F26" s="27" t="n"/>
      <c r="G26" s="31">
        <f>COUNTIF(I6:I20, "&gt;=35")</f>
        <v/>
      </c>
      <c r="H26" s="27" t="n"/>
      <c r="I26" s="27" t="n"/>
      <c r="J26" s="31">
        <f>COUNTIF(L6:L20, "&gt;=35")</f>
        <v/>
      </c>
      <c r="K26" s="27" t="n"/>
      <c r="L26" s="27" t="n"/>
      <c r="M26" s="31">
        <f>COUNTIF(O6:O20, "&gt;=35")</f>
        <v/>
      </c>
      <c r="N26" s="27" t="n"/>
      <c r="O26" s="27" t="n"/>
      <c r="P26" s="31">
        <f>COUNTIF(R6:R20, "&gt;=35")</f>
        <v/>
      </c>
      <c r="Q26" s="27" t="n"/>
      <c r="R26" s="27" t="n"/>
      <c r="S26" s="31">
        <f>COUNTIF(U6:U20, "&gt;=35")</f>
        <v/>
      </c>
      <c r="T26" s="27" t="n"/>
      <c r="U26" s="27" t="n"/>
      <c r="V26" s="32">
        <f>COUNTIF(X6:X20, "PASS")</f>
        <v/>
      </c>
      <c r="W26" s="31" t="n"/>
      <c r="X26" s="27" t="n"/>
      <c r="Y26" s="27" t="n"/>
      <c r="Z26" s="27" t="n"/>
    </row>
    <row r="27">
      <c r="A27" s="26" t="inlineStr">
        <is>
          <t>PASS PERCENTAGE (%)</t>
        </is>
      </c>
      <c r="B27" s="27" t="n"/>
      <c r="C27" s="27" t="n"/>
      <c r="D27" s="30">
        <f>IF(COUNTA(C6:C20)&gt;0, ROUND((D26/COUNTA(C6:C20))*100, 1), "-")</f>
        <v/>
      </c>
      <c r="E27" s="27" t="n"/>
      <c r="F27" s="27" t="n"/>
      <c r="G27" s="30">
        <f>IF(COUNTA(C6:C20)&gt;0, ROUND((G26/COUNTA(C6:C20))*100, 1), "-")</f>
        <v/>
      </c>
      <c r="H27" s="27" t="n"/>
      <c r="I27" s="27" t="n"/>
      <c r="J27" s="30">
        <f>IF(COUNTA(C6:C20)&gt;0, ROUND((J26/COUNTA(C6:C20))*100, 1), "-")</f>
        <v/>
      </c>
      <c r="K27" s="27" t="n"/>
      <c r="L27" s="27" t="n"/>
      <c r="M27" s="30">
        <f>IF(COUNTA(C6:C20)&gt;0, ROUND((M26/COUNTA(C6:C20))*100, 1), "-")</f>
        <v/>
      </c>
      <c r="N27" s="27" t="n"/>
      <c r="O27" s="27" t="n"/>
      <c r="P27" s="30">
        <f>IF(COUNTA(C6:C20)&gt;0, ROUND((P26/COUNTA(C6:C20))*100, 1), "-")</f>
        <v/>
      </c>
      <c r="Q27" s="27" t="n"/>
      <c r="R27" s="27" t="n"/>
      <c r="S27" s="30">
        <f>IF(COUNTA(C6:C20)&gt;0, ROUND((S26/COUNTA(C6:C20))*100, 1), "-")</f>
        <v/>
      </c>
      <c r="T27" s="27" t="n"/>
      <c r="U27" s="27" t="n"/>
      <c r="V27" s="33">
        <f>IF(COUNTA(C6:C20)&gt;0, ROUND((V26/COUNTA(C6:C20))*100, 1), "-")</f>
        <v/>
      </c>
      <c r="W27" s="31" t="n"/>
      <c r="X27" s="27" t="n"/>
      <c r="Y27" s="27" t="n"/>
      <c r="Z27" s="27" t="n"/>
    </row>
  </sheetData>
  <mergeCells count="51">
    <mergeCell ref="A25:C25"/>
    <mergeCell ref="J24:L24"/>
    <mergeCell ref="D27:F27"/>
    <mergeCell ref="P27:R27"/>
    <mergeCell ref="C4:C5"/>
    <mergeCell ref="S23:U23"/>
    <mergeCell ref="V4:V5"/>
    <mergeCell ref="J27:L27"/>
    <mergeCell ref="A27:C27"/>
    <mergeCell ref="J4:L4"/>
    <mergeCell ref="P23:R23"/>
    <mergeCell ref="M25:O25"/>
    <mergeCell ref="J26:L26"/>
    <mergeCell ref="A26:C26"/>
    <mergeCell ref="G24:I24"/>
    <mergeCell ref="J25:L25"/>
    <mergeCell ref="M27:O27"/>
    <mergeCell ref="A1:Z1"/>
    <mergeCell ref="A23:C23"/>
    <mergeCell ref="S24:U24"/>
    <mergeCell ref="D4:F4"/>
    <mergeCell ref="G4:I4"/>
    <mergeCell ref="G26:I26"/>
    <mergeCell ref="M26:O26"/>
    <mergeCell ref="D25:F25"/>
    <mergeCell ref="M24:O24"/>
    <mergeCell ref="D24:F24"/>
    <mergeCell ref="G25:I25"/>
    <mergeCell ref="M23:O23"/>
    <mergeCell ref="D23:F23"/>
    <mergeCell ref="P24:R24"/>
    <mergeCell ref="A4:A5"/>
    <mergeCell ref="X4:X5"/>
    <mergeCell ref="M4:O4"/>
    <mergeCell ref="S4:U4"/>
    <mergeCell ref="Z4:Z5"/>
    <mergeCell ref="J23:L23"/>
    <mergeCell ref="S26:U26"/>
    <mergeCell ref="D26:F26"/>
    <mergeCell ref="A2:Z2"/>
    <mergeCell ref="P4:R4"/>
    <mergeCell ref="S25:U25"/>
    <mergeCell ref="A24:C24"/>
    <mergeCell ref="P26:R26"/>
    <mergeCell ref="B4:B5"/>
    <mergeCell ref="P25:R25"/>
    <mergeCell ref="G27:I27"/>
    <mergeCell ref="S27:U27"/>
    <mergeCell ref="W4:W5"/>
    <mergeCell ref="Y4:Y5"/>
    <mergeCell ref="G23:I23"/>
  </mergeCells>
  <conditionalFormatting sqref="X6:X20">
    <cfRule type="cellIs" priority="1" operator="equal" dxfId="0">
      <formula>"PASS"</formula>
    </cfRule>
    <cfRule type="cellIs" priority="2" operator="equal" dxfId="1">
      <formula>"FAIL"</formula>
    </cfRule>
  </conditionalFormatting>
  <conditionalFormatting sqref="Y6:Y20">
    <cfRule type="cellIs" priority="3" operator="equal" dxfId="2">
      <formula>"A+"</formula>
    </cfRule>
  </conditionalFormatting>
  <dataValidations count="2">
    <dataValidation sqref="D6:D20 G6:G20 J6:J20 M6:M20 P6:P20 S6:S20" showDropDown="0" showInputMessage="0" showErrorMessage="0" allowBlank="1" type="whole" operator="between">
      <formula1>0</formula1>
      <formula2>80</formula2>
    </dataValidation>
    <dataValidation sqref="E6:E20 H6:H20 K6:K20 N6:N20 Q6:Q20 T6:T20" showDropDown="0" showInputMessage="0" showErrorMessage="0" allowBlank="1" type="whole" operator="between">
      <formula1>0</formula1>
      <formula2>20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7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24" customWidth="1" min="3" max="3"/>
    <col width="9" customWidth="1" min="4" max="4"/>
    <col width="9" customWidth="1" min="5" max="5"/>
    <col width="11" customWidth="1" min="6" max="6"/>
    <col width="9" customWidth="1" min="7" max="7"/>
    <col width="9" customWidth="1" min="8" max="8"/>
    <col width="11" customWidth="1" min="9" max="9"/>
    <col width="9" customWidth="1" min="10" max="10"/>
    <col width="9" customWidth="1" min="11" max="11"/>
    <col width="11" customWidth="1" min="12" max="12"/>
    <col width="9" customWidth="1" min="13" max="13"/>
    <col width="9" customWidth="1" min="14" max="14"/>
    <col width="11" customWidth="1" min="15" max="15"/>
    <col width="9" customWidth="1" min="16" max="16"/>
    <col width="9" customWidth="1" min="17" max="17"/>
    <col width="11" customWidth="1" min="18" max="18"/>
    <col width="9" customWidth="1" min="19" max="19"/>
    <col width="9" customWidth="1" min="20" max="20"/>
    <col width="11" customWidth="1" min="21" max="21"/>
    <col width="14" customWidth="1" min="22" max="22"/>
    <col width="13" customWidth="1" min="23" max="23"/>
    <col width="11" customWidth="1" min="24" max="24"/>
    <col width="9" customWidth="1" min="25" max="25"/>
    <col width="10" customWidth="1" min="26" max="26"/>
  </cols>
  <sheetData>
    <row r="1" ht="38" customHeight="1">
      <c r="A1" s="1" t="inlineStr">
        <is>
          <t>EVAL AI (ADEM) — GRADE 9 EXAMINATION MARK SHEET</t>
        </is>
      </c>
    </row>
    <row r="2" ht="22" customHeight="1">
      <c r="A2" s="2" t="inlineStr">
        <is>
          <t>Academic Year: 2025–2026  |  Class: Grade 9  |  Total Subjects: 6  |  Max Marks: 600  |  Pass: Min 35% in each subject</t>
        </is>
      </c>
    </row>
    <row r="3" ht="8" customHeight="1"/>
    <row r="4" ht="26" customHeight="1">
      <c r="A4" s="19" t="inlineStr">
        <is>
          <t>S.No</t>
        </is>
      </c>
      <c r="B4" s="19" t="inlineStr">
        <is>
          <t>Roll No</t>
        </is>
      </c>
      <c r="C4" s="19" t="inlineStr">
        <is>
          <t>Student Name</t>
        </is>
      </c>
      <c r="D4" s="20" t="inlineStr">
        <is>
          <t>BIOLOGY (100)</t>
        </is>
      </c>
      <c r="E4" s="21" t="n"/>
      <c r="F4" s="21" t="n"/>
      <c r="G4" s="20" t="inlineStr">
        <is>
          <t>BIOLOGY (100)</t>
        </is>
      </c>
      <c r="H4" s="21" t="n"/>
      <c r="I4" s="21" t="n"/>
      <c r="J4" s="20" t="inlineStr">
        <is>
          <t>CHEMISTRY (100)</t>
        </is>
      </c>
      <c r="K4" s="21" t="n"/>
      <c r="L4" s="21" t="n"/>
      <c r="M4" s="20" t="inlineStr">
        <is>
          <t>CHEMISTRY (100)</t>
        </is>
      </c>
      <c r="N4" s="21" t="n"/>
      <c r="O4" s="21" t="n"/>
      <c r="P4" s="20" t="inlineStr">
        <is>
          <t>MATHS (100)</t>
        </is>
      </c>
      <c r="Q4" s="21" t="n"/>
      <c r="R4" s="21" t="n"/>
      <c r="S4" s="20" t="inlineStr">
        <is>
          <t>PHYSICS (100)</t>
        </is>
      </c>
      <c r="T4" s="21" t="n"/>
      <c r="U4" s="21" t="n"/>
      <c r="V4" s="20" t="inlineStr">
        <is>
          <t>Grand Total
(600)</t>
        </is>
      </c>
      <c r="W4" s="20" t="inlineStr">
        <is>
          <t>Percentage
(%)</t>
        </is>
      </c>
      <c r="X4" s="20" t="inlineStr">
        <is>
          <t>Result</t>
        </is>
      </c>
      <c r="Y4" s="20" t="inlineStr">
        <is>
          <t>Grade</t>
        </is>
      </c>
      <c r="Z4" s="20" t="inlineStr">
        <is>
          <t>Class
Rank</t>
        </is>
      </c>
    </row>
    <row r="5" ht="28" customHeight="1">
      <c r="A5" s="21" t="n"/>
      <c r="B5" s="21" t="n"/>
      <c r="C5" s="21" t="n"/>
      <c r="D5" s="22" t="inlineStr">
        <is>
          <t>Theory
(80)</t>
        </is>
      </c>
      <c r="E5" s="22" t="inlineStr">
        <is>
          <t>Internal
(20)</t>
        </is>
      </c>
      <c r="F5" s="23" t="inlineStr">
        <is>
          <t>Total
(100)</t>
        </is>
      </c>
      <c r="G5" s="22" t="inlineStr">
        <is>
          <t>Theory
(80)</t>
        </is>
      </c>
      <c r="H5" s="22" t="inlineStr">
        <is>
          <t>Internal
(20)</t>
        </is>
      </c>
      <c r="I5" s="23" t="inlineStr">
        <is>
          <t>Total
(100)</t>
        </is>
      </c>
      <c r="J5" s="22" t="inlineStr">
        <is>
          <t>Theory
(80)</t>
        </is>
      </c>
      <c r="K5" s="22" t="inlineStr">
        <is>
          <t>Internal
(20)</t>
        </is>
      </c>
      <c r="L5" s="23" t="inlineStr">
        <is>
          <t>Total
(100)</t>
        </is>
      </c>
      <c r="M5" s="22" t="inlineStr">
        <is>
          <t>Theory
(80)</t>
        </is>
      </c>
      <c r="N5" s="22" t="inlineStr">
        <is>
          <t>Internal
(20)</t>
        </is>
      </c>
      <c r="O5" s="23" t="inlineStr">
        <is>
          <t>Total
(100)</t>
        </is>
      </c>
      <c r="P5" s="22" t="inlineStr">
        <is>
          <t>Theory
(80)</t>
        </is>
      </c>
      <c r="Q5" s="22" t="inlineStr">
        <is>
          <t>Internal
(20)</t>
        </is>
      </c>
      <c r="R5" s="23" t="inlineStr">
        <is>
          <t>Total
(100)</t>
        </is>
      </c>
      <c r="S5" s="22" t="inlineStr">
        <is>
          <t>Theory
(80)</t>
        </is>
      </c>
      <c r="T5" s="22" t="inlineStr">
        <is>
          <t>Internal
(20)</t>
        </is>
      </c>
      <c r="U5" s="23" t="inlineStr">
        <is>
          <t>Total
(100)</t>
        </is>
      </c>
      <c r="V5" s="21" t="n"/>
      <c r="W5" s="21" t="n"/>
      <c r="X5" s="21" t="n"/>
      <c r="Y5" s="21" t="n"/>
      <c r="Z5" s="21" t="n"/>
    </row>
    <row r="6">
      <c r="A6" s="5" t="inlineStr"/>
      <c r="B6" s="5" t="inlineStr"/>
      <c r="C6" s="6" t="inlineStr"/>
      <c r="D6" s="5" t="n"/>
      <c r="E6" s="5" t="n"/>
      <c r="F6" s="7">
        <f>IF(ISBLANK(C6), "", D6+E6)</f>
        <v/>
      </c>
      <c r="G6" s="5" t="n"/>
      <c r="H6" s="5" t="n"/>
      <c r="I6" s="7">
        <f>IF(ISBLANK(C6), "", G6+H6)</f>
        <v/>
      </c>
      <c r="J6" s="5" t="n"/>
      <c r="K6" s="5" t="n"/>
      <c r="L6" s="7">
        <f>IF(ISBLANK(C6), "", J6+K6)</f>
        <v/>
      </c>
      <c r="M6" s="5" t="n"/>
      <c r="N6" s="5" t="n"/>
      <c r="O6" s="7">
        <f>IF(ISBLANK(C6), "", M6+N6)</f>
        <v/>
      </c>
      <c r="P6" s="5" t="n"/>
      <c r="Q6" s="5" t="n"/>
      <c r="R6" s="7">
        <f>IF(ISBLANK(C6), "", P6+Q6)</f>
        <v/>
      </c>
      <c r="S6" s="5" t="n"/>
      <c r="T6" s="5" t="n"/>
      <c r="U6" s="7">
        <f>IF(ISBLANK(C6), "", S6+T6)</f>
        <v/>
      </c>
      <c r="V6" s="24">
        <f>IF(ISBLANK(C6), "", F6+I6+L6+O6+R6+U6)</f>
        <v/>
      </c>
      <c r="W6" s="10">
        <f>IF(OR(ISBLANK(C6), V6=""), "", ROUND((V6/600)*100, 1))</f>
        <v/>
      </c>
      <c r="X6" s="7">
        <f>IF(OR(ISBLANK(C6), V6=""), "", IF(AND(F6&gt;=35, I6&gt;=35, L6&gt;=35, O6&gt;=35, R6&gt;=35, U6&gt;=35), "PASS", "FAIL"))</f>
        <v/>
      </c>
      <c r="Y6" s="7">
        <f>IF(OR(ISBLANK(C6), X6=""), "", IF(X6="FAIL", "F", IF(W6&gt;=90, "A+", IF(W6&gt;=80, "A", IF(W6&gt;=70, "B", IF(W6&gt;=50, "C", "D"))))))</f>
        <v/>
      </c>
      <c r="Z6" s="7">
        <f>IF(OR(ISBLANK(C6), V6=""), "", RANK(V6, $V$6:$V$20))</f>
        <v/>
      </c>
    </row>
    <row r="7">
      <c r="A7" s="12" t="inlineStr"/>
      <c r="B7" s="12" t="inlineStr"/>
      <c r="C7" s="13" t="inlineStr"/>
      <c r="D7" s="12" t="n"/>
      <c r="E7" s="12" t="n"/>
      <c r="F7" s="14">
        <f>IF(ISBLANK(C7), "", D7+E7)</f>
        <v/>
      </c>
      <c r="G7" s="12" t="n"/>
      <c r="H7" s="12" t="n"/>
      <c r="I7" s="14">
        <f>IF(ISBLANK(C7), "", G7+H7)</f>
        <v/>
      </c>
      <c r="J7" s="12" t="n"/>
      <c r="K7" s="12" t="n"/>
      <c r="L7" s="14">
        <f>IF(ISBLANK(C7), "", J7+K7)</f>
        <v/>
      </c>
      <c r="M7" s="12" t="n"/>
      <c r="N7" s="12" t="n"/>
      <c r="O7" s="14">
        <f>IF(ISBLANK(C7), "", M7+N7)</f>
        <v/>
      </c>
      <c r="P7" s="12" t="n"/>
      <c r="Q7" s="12" t="n"/>
      <c r="R7" s="14">
        <f>IF(ISBLANK(C7), "", P7+Q7)</f>
        <v/>
      </c>
      <c r="S7" s="12" t="n"/>
      <c r="T7" s="12" t="n"/>
      <c r="U7" s="14">
        <f>IF(ISBLANK(C7), "", S7+T7)</f>
        <v/>
      </c>
      <c r="V7" s="25">
        <f>IF(ISBLANK(C7), "", F7+I7+L7+O7+R7+U7)</f>
        <v/>
      </c>
      <c r="W7" s="17">
        <f>IF(OR(ISBLANK(C7), V7=""), "", ROUND((V7/600)*100, 1))</f>
        <v/>
      </c>
      <c r="X7" s="14">
        <f>IF(OR(ISBLANK(C7), V7=""), "", IF(AND(F7&gt;=35, I7&gt;=35, L7&gt;=35, O7&gt;=35, R7&gt;=35, U7&gt;=35), "PASS", "FAIL"))</f>
        <v/>
      </c>
      <c r="Y7" s="14">
        <f>IF(OR(ISBLANK(C7), X7=""), "", IF(X7="FAIL", "F", IF(W7&gt;=90, "A+", IF(W7&gt;=80, "A", IF(W7&gt;=70, "B", IF(W7&gt;=50, "C", "D"))))))</f>
        <v/>
      </c>
      <c r="Z7" s="14">
        <f>IF(OR(ISBLANK(C7), V7=""), "", RANK(V7, $V$6:$V$20))</f>
        <v/>
      </c>
    </row>
    <row r="8">
      <c r="A8" s="5" t="inlineStr"/>
      <c r="B8" s="5" t="inlineStr"/>
      <c r="C8" s="6" t="inlineStr"/>
      <c r="D8" s="5" t="n"/>
      <c r="E8" s="5" t="n"/>
      <c r="F8" s="7">
        <f>IF(ISBLANK(C8), "", D8+E8)</f>
        <v/>
      </c>
      <c r="G8" s="5" t="n"/>
      <c r="H8" s="5" t="n"/>
      <c r="I8" s="7">
        <f>IF(ISBLANK(C8), "", G8+H8)</f>
        <v/>
      </c>
      <c r="J8" s="5" t="n"/>
      <c r="K8" s="5" t="n"/>
      <c r="L8" s="7">
        <f>IF(ISBLANK(C8), "", J8+K8)</f>
        <v/>
      </c>
      <c r="M8" s="5" t="n"/>
      <c r="N8" s="5" t="n"/>
      <c r="O8" s="7">
        <f>IF(ISBLANK(C8), "", M8+N8)</f>
        <v/>
      </c>
      <c r="P8" s="5" t="n"/>
      <c r="Q8" s="5" t="n"/>
      <c r="R8" s="7">
        <f>IF(ISBLANK(C8), "", P8+Q8)</f>
        <v/>
      </c>
      <c r="S8" s="5" t="n"/>
      <c r="T8" s="5" t="n"/>
      <c r="U8" s="7">
        <f>IF(ISBLANK(C8), "", S8+T8)</f>
        <v/>
      </c>
      <c r="V8" s="24">
        <f>IF(ISBLANK(C8), "", F8+I8+L8+O8+R8+U8)</f>
        <v/>
      </c>
      <c r="W8" s="10">
        <f>IF(OR(ISBLANK(C8), V8=""), "", ROUND((V8/600)*100, 1))</f>
        <v/>
      </c>
      <c r="X8" s="7">
        <f>IF(OR(ISBLANK(C8), V8=""), "", IF(AND(F8&gt;=35, I8&gt;=35, L8&gt;=35, O8&gt;=35, R8&gt;=35, U8&gt;=35), "PASS", "FAIL"))</f>
        <v/>
      </c>
      <c r="Y8" s="7">
        <f>IF(OR(ISBLANK(C8), X8=""), "", IF(X8="FAIL", "F", IF(W8&gt;=90, "A+", IF(W8&gt;=80, "A", IF(W8&gt;=70, "B", IF(W8&gt;=50, "C", "D"))))))</f>
        <v/>
      </c>
      <c r="Z8" s="7">
        <f>IF(OR(ISBLANK(C8), V8=""), "", RANK(V8, $V$6:$V$20))</f>
        <v/>
      </c>
    </row>
    <row r="9">
      <c r="A9" s="12" t="inlineStr"/>
      <c r="B9" s="12" t="inlineStr"/>
      <c r="C9" s="13" t="inlineStr"/>
      <c r="D9" s="12" t="n"/>
      <c r="E9" s="12" t="n"/>
      <c r="F9" s="14">
        <f>IF(ISBLANK(C9), "", D9+E9)</f>
        <v/>
      </c>
      <c r="G9" s="12" t="n"/>
      <c r="H9" s="12" t="n"/>
      <c r="I9" s="14">
        <f>IF(ISBLANK(C9), "", G9+H9)</f>
        <v/>
      </c>
      <c r="J9" s="12" t="n"/>
      <c r="K9" s="12" t="n"/>
      <c r="L9" s="14">
        <f>IF(ISBLANK(C9), "", J9+K9)</f>
        <v/>
      </c>
      <c r="M9" s="12" t="n"/>
      <c r="N9" s="12" t="n"/>
      <c r="O9" s="14">
        <f>IF(ISBLANK(C9), "", M9+N9)</f>
        <v/>
      </c>
      <c r="P9" s="12" t="n"/>
      <c r="Q9" s="12" t="n"/>
      <c r="R9" s="14">
        <f>IF(ISBLANK(C9), "", P9+Q9)</f>
        <v/>
      </c>
      <c r="S9" s="12" t="n"/>
      <c r="T9" s="12" t="n"/>
      <c r="U9" s="14">
        <f>IF(ISBLANK(C9), "", S9+T9)</f>
        <v/>
      </c>
      <c r="V9" s="25">
        <f>IF(ISBLANK(C9), "", F9+I9+L9+O9+R9+U9)</f>
        <v/>
      </c>
      <c r="W9" s="17">
        <f>IF(OR(ISBLANK(C9), V9=""), "", ROUND((V9/600)*100, 1))</f>
        <v/>
      </c>
      <c r="X9" s="14">
        <f>IF(OR(ISBLANK(C9), V9=""), "", IF(AND(F9&gt;=35, I9&gt;=35, L9&gt;=35, O9&gt;=35, R9&gt;=35, U9&gt;=35), "PASS", "FAIL"))</f>
        <v/>
      </c>
      <c r="Y9" s="14">
        <f>IF(OR(ISBLANK(C9), X9=""), "", IF(X9="FAIL", "F", IF(W9&gt;=90, "A+", IF(W9&gt;=80, "A", IF(W9&gt;=70, "B", IF(W9&gt;=50, "C", "D"))))))</f>
        <v/>
      </c>
      <c r="Z9" s="14">
        <f>IF(OR(ISBLANK(C9), V9=""), "", RANK(V9, $V$6:$V$20))</f>
        <v/>
      </c>
    </row>
    <row r="10">
      <c r="A10" s="5" t="inlineStr"/>
      <c r="B10" s="5" t="inlineStr"/>
      <c r="C10" s="6" t="inlineStr"/>
      <c r="D10" s="5" t="n"/>
      <c r="E10" s="5" t="n"/>
      <c r="F10" s="7">
        <f>IF(ISBLANK(C10), "", D10+E10)</f>
        <v/>
      </c>
      <c r="G10" s="5" t="n"/>
      <c r="H10" s="5" t="n"/>
      <c r="I10" s="7">
        <f>IF(ISBLANK(C10), "", G10+H10)</f>
        <v/>
      </c>
      <c r="J10" s="5" t="n"/>
      <c r="K10" s="5" t="n"/>
      <c r="L10" s="7">
        <f>IF(ISBLANK(C10), "", J10+K10)</f>
        <v/>
      </c>
      <c r="M10" s="5" t="n"/>
      <c r="N10" s="5" t="n"/>
      <c r="O10" s="7">
        <f>IF(ISBLANK(C10), "", M10+N10)</f>
        <v/>
      </c>
      <c r="P10" s="5" t="n"/>
      <c r="Q10" s="5" t="n"/>
      <c r="R10" s="7">
        <f>IF(ISBLANK(C10), "", P10+Q10)</f>
        <v/>
      </c>
      <c r="S10" s="5" t="n"/>
      <c r="T10" s="5" t="n"/>
      <c r="U10" s="7">
        <f>IF(ISBLANK(C10), "", S10+T10)</f>
        <v/>
      </c>
      <c r="V10" s="24">
        <f>IF(ISBLANK(C10), "", F10+I10+L10+O10+R10+U10)</f>
        <v/>
      </c>
      <c r="W10" s="10">
        <f>IF(OR(ISBLANK(C10), V10=""), "", ROUND((V10/600)*100, 1))</f>
        <v/>
      </c>
      <c r="X10" s="7">
        <f>IF(OR(ISBLANK(C10), V10=""), "", IF(AND(F10&gt;=35, I10&gt;=35, L10&gt;=35, O10&gt;=35, R10&gt;=35, U10&gt;=35), "PASS", "FAIL"))</f>
        <v/>
      </c>
      <c r="Y10" s="7">
        <f>IF(OR(ISBLANK(C10), X10=""), "", IF(X10="FAIL", "F", IF(W10&gt;=90, "A+", IF(W10&gt;=80, "A", IF(W10&gt;=70, "B", IF(W10&gt;=50, "C", "D"))))))</f>
        <v/>
      </c>
      <c r="Z10" s="7">
        <f>IF(OR(ISBLANK(C10), V10=""), "", RANK(V10, $V$6:$V$20))</f>
        <v/>
      </c>
    </row>
    <row r="11">
      <c r="A11" s="12" t="inlineStr"/>
      <c r="B11" s="12" t="inlineStr"/>
      <c r="C11" s="13" t="inlineStr"/>
      <c r="D11" s="12" t="n"/>
      <c r="E11" s="12" t="n"/>
      <c r="F11" s="14">
        <f>IF(ISBLANK(C11), "", D11+E11)</f>
        <v/>
      </c>
      <c r="G11" s="12" t="n"/>
      <c r="H11" s="12" t="n"/>
      <c r="I11" s="14">
        <f>IF(ISBLANK(C11), "", G11+H11)</f>
        <v/>
      </c>
      <c r="J11" s="12" t="n"/>
      <c r="K11" s="12" t="n"/>
      <c r="L11" s="14">
        <f>IF(ISBLANK(C11), "", J11+K11)</f>
        <v/>
      </c>
      <c r="M11" s="12" t="n"/>
      <c r="N11" s="12" t="n"/>
      <c r="O11" s="14">
        <f>IF(ISBLANK(C11), "", M11+N11)</f>
        <v/>
      </c>
      <c r="P11" s="12" t="n"/>
      <c r="Q11" s="12" t="n"/>
      <c r="R11" s="14">
        <f>IF(ISBLANK(C11), "", P11+Q11)</f>
        <v/>
      </c>
      <c r="S11" s="12" t="n"/>
      <c r="T11" s="12" t="n"/>
      <c r="U11" s="14">
        <f>IF(ISBLANK(C11), "", S11+T11)</f>
        <v/>
      </c>
      <c r="V11" s="25">
        <f>IF(ISBLANK(C11), "", F11+I11+L11+O11+R11+U11)</f>
        <v/>
      </c>
      <c r="W11" s="17">
        <f>IF(OR(ISBLANK(C11), V11=""), "", ROUND((V11/600)*100, 1))</f>
        <v/>
      </c>
      <c r="X11" s="14">
        <f>IF(OR(ISBLANK(C11), V11=""), "", IF(AND(F11&gt;=35, I11&gt;=35, L11&gt;=35, O11&gt;=35, R11&gt;=35, U11&gt;=35), "PASS", "FAIL"))</f>
        <v/>
      </c>
      <c r="Y11" s="14">
        <f>IF(OR(ISBLANK(C11), X11=""), "", IF(X11="FAIL", "F", IF(W11&gt;=90, "A+", IF(W11&gt;=80, "A", IF(W11&gt;=70, "B", IF(W11&gt;=50, "C", "D"))))))</f>
        <v/>
      </c>
      <c r="Z11" s="14">
        <f>IF(OR(ISBLANK(C11), V11=""), "", RANK(V11, $V$6:$V$20))</f>
        <v/>
      </c>
    </row>
    <row r="12">
      <c r="A12" s="5" t="inlineStr"/>
      <c r="B12" s="5" t="inlineStr"/>
      <c r="C12" s="6" t="inlineStr"/>
      <c r="D12" s="5" t="n"/>
      <c r="E12" s="5" t="n"/>
      <c r="F12" s="7">
        <f>IF(ISBLANK(C12), "", D12+E12)</f>
        <v/>
      </c>
      <c r="G12" s="5" t="n"/>
      <c r="H12" s="5" t="n"/>
      <c r="I12" s="7">
        <f>IF(ISBLANK(C12), "", G12+H12)</f>
        <v/>
      </c>
      <c r="J12" s="5" t="n"/>
      <c r="K12" s="5" t="n"/>
      <c r="L12" s="7">
        <f>IF(ISBLANK(C12), "", J12+K12)</f>
        <v/>
      </c>
      <c r="M12" s="5" t="n"/>
      <c r="N12" s="5" t="n"/>
      <c r="O12" s="7">
        <f>IF(ISBLANK(C12), "", M12+N12)</f>
        <v/>
      </c>
      <c r="P12" s="5" t="n"/>
      <c r="Q12" s="5" t="n"/>
      <c r="R12" s="7">
        <f>IF(ISBLANK(C12), "", P12+Q12)</f>
        <v/>
      </c>
      <c r="S12" s="5" t="n"/>
      <c r="T12" s="5" t="n"/>
      <c r="U12" s="7">
        <f>IF(ISBLANK(C12), "", S12+T12)</f>
        <v/>
      </c>
      <c r="V12" s="24">
        <f>IF(ISBLANK(C12), "", F12+I12+L12+O12+R12+U12)</f>
        <v/>
      </c>
      <c r="W12" s="10">
        <f>IF(OR(ISBLANK(C12), V12=""), "", ROUND((V12/600)*100, 1))</f>
        <v/>
      </c>
      <c r="X12" s="7">
        <f>IF(OR(ISBLANK(C12), V12=""), "", IF(AND(F12&gt;=35, I12&gt;=35, L12&gt;=35, O12&gt;=35, R12&gt;=35, U12&gt;=35), "PASS", "FAIL"))</f>
        <v/>
      </c>
      <c r="Y12" s="7">
        <f>IF(OR(ISBLANK(C12), X12=""), "", IF(X12="FAIL", "F", IF(W12&gt;=90, "A+", IF(W12&gt;=80, "A", IF(W12&gt;=70, "B", IF(W12&gt;=50, "C", "D"))))))</f>
        <v/>
      </c>
      <c r="Z12" s="7">
        <f>IF(OR(ISBLANK(C12), V12=""), "", RANK(V12, $V$6:$V$20))</f>
        <v/>
      </c>
    </row>
    <row r="13">
      <c r="A13" s="12" t="inlineStr"/>
      <c r="B13" s="12" t="inlineStr"/>
      <c r="C13" s="13" t="inlineStr"/>
      <c r="D13" s="12" t="n"/>
      <c r="E13" s="12" t="n"/>
      <c r="F13" s="14">
        <f>IF(ISBLANK(C13), "", D13+E13)</f>
        <v/>
      </c>
      <c r="G13" s="12" t="n"/>
      <c r="H13" s="12" t="n"/>
      <c r="I13" s="14">
        <f>IF(ISBLANK(C13), "", G13+H13)</f>
        <v/>
      </c>
      <c r="J13" s="12" t="n"/>
      <c r="K13" s="12" t="n"/>
      <c r="L13" s="14">
        <f>IF(ISBLANK(C13), "", J13+K13)</f>
        <v/>
      </c>
      <c r="M13" s="12" t="n"/>
      <c r="N13" s="12" t="n"/>
      <c r="O13" s="14">
        <f>IF(ISBLANK(C13), "", M13+N13)</f>
        <v/>
      </c>
      <c r="P13" s="12" t="n"/>
      <c r="Q13" s="12" t="n"/>
      <c r="R13" s="14">
        <f>IF(ISBLANK(C13), "", P13+Q13)</f>
        <v/>
      </c>
      <c r="S13" s="12" t="n"/>
      <c r="T13" s="12" t="n"/>
      <c r="U13" s="14">
        <f>IF(ISBLANK(C13), "", S13+T13)</f>
        <v/>
      </c>
      <c r="V13" s="25">
        <f>IF(ISBLANK(C13), "", F13+I13+L13+O13+R13+U13)</f>
        <v/>
      </c>
      <c r="W13" s="17">
        <f>IF(OR(ISBLANK(C13), V13=""), "", ROUND((V13/600)*100, 1))</f>
        <v/>
      </c>
      <c r="X13" s="14">
        <f>IF(OR(ISBLANK(C13), V13=""), "", IF(AND(F13&gt;=35, I13&gt;=35, L13&gt;=35, O13&gt;=35, R13&gt;=35, U13&gt;=35), "PASS", "FAIL"))</f>
        <v/>
      </c>
      <c r="Y13" s="14">
        <f>IF(OR(ISBLANK(C13), X13=""), "", IF(X13="FAIL", "F", IF(W13&gt;=90, "A+", IF(W13&gt;=80, "A", IF(W13&gt;=70, "B", IF(W13&gt;=50, "C", "D"))))))</f>
        <v/>
      </c>
      <c r="Z13" s="14">
        <f>IF(OR(ISBLANK(C13), V13=""), "", RANK(V13, $V$6:$V$20))</f>
        <v/>
      </c>
    </row>
    <row r="14">
      <c r="A14" s="5" t="inlineStr"/>
      <c r="B14" s="5" t="inlineStr"/>
      <c r="C14" s="6" t="inlineStr"/>
      <c r="D14" s="5" t="n"/>
      <c r="E14" s="5" t="n"/>
      <c r="F14" s="7">
        <f>IF(ISBLANK(C14), "", D14+E14)</f>
        <v/>
      </c>
      <c r="G14" s="5" t="n"/>
      <c r="H14" s="5" t="n"/>
      <c r="I14" s="7">
        <f>IF(ISBLANK(C14), "", G14+H14)</f>
        <v/>
      </c>
      <c r="J14" s="5" t="n"/>
      <c r="K14" s="5" t="n"/>
      <c r="L14" s="7">
        <f>IF(ISBLANK(C14), "", J14+K14)</f>
        <v/>
      </c>
      <c r="M14" s="5" t="n"/>
      <c r="N14" s="5" t="n"/>
      <c r="O14" s="7">
        <f>IF(ISBLANK(C14), "", M14+N14)</f>
        <v/>
      </c>
      <c r="P14" s="5" t="n"/>
      <c r="Q14" s="5" t="n"/>
      <c r="R14" s="7">
        <f>IF(ISBLANK(C14), "", P14+Q14)</f>
        <v/>
      </c>
      <c r="S14" s="5" t="n"/>
      <c r="T14" s="5" t="n"/>
      <c r="U14" s="7">
        <f>IF(ISBLANK(C14), "", S14+T14)</f>
        <v/>
      </c>
      <c r="V14" s="24">
        <f>IF(ISBLANK(C14), "", F14+I14+L14+O14+R14+U14)</f>
        <v/>
      </c>
      <c r="W14" s="10">
        <f>IF(OR(ISBLANK(C14), V14=""), "", ROUND((V14/600)*100, 1))</f>
        <v/>
      </c>
      <c r="X14" s="7">
        <f>IF(OR(ISBLANK(C14), V14=""), "", IF(AND(F14&gt;=35, I14&gt;=35, L14&gt;=35, O14&gt;=35, R14&gt;=35, U14&gt;=35), "PASS", "FAIL"))</f>
        <v/>
      </c>
      <c r="Y14" s="7">
        <f>IF(OR(ISBLANK(C14), X14=""), "", IF(X14="FAIL", "F", IF(W14&gt;=90, "A+", IF(W14&gt;=80, "A", IF(W14&gt;=70, "B", IF(W14&gt;=50, "C", "D"))))))</f>
        <v/>
      </c>
      <c r="Z14" s="7">
        <f>IF(OR(ISBLANK(C14), V14=""), "", RANK(V14, $V$6:$V$20))</f>
        <v/>
      </c>
    </row>
    <row r="15">
      <c r="A15" s="12" t="inlineStr"/>
      <c r="B15" s="12" t="inlineStr"/>
      <c r="C15" s="13" t="inlineStr"/>
      <c r="D15" s="12" t="n"/>
      <c r="E15" s="12" t="n"/>
      <c r="F15" s="14">
        <f>IF(ISBLANK(C15), "", D15+E15)</f>
        <v/>
      </c>
      <c r="G15" s="12" t="n"/>
      <c r="H15" s="12" t="n"/>
      <c r="I15" s="14">
        <f>IF(ISBLANK(C15), "", G15+H15)</f>
        <v/>
      </c>
      <c r="J15" s="12" t="n"/>
      <c r="K15" s="12" t="n"/>
      <c r="L15" s="14">
        <f>IF(ISBLANK(C15), "", J15+K15)</f>
        <v/>
      </c>
      <c r="M15" s="12" t="n"/>
      <c r="N15" s="12" t="n"/>
      <c r="O15" s="14">
        <f>IF(ISBLANK(C15), "", M15+N15)</f>
        <v/>
      </c>
      <c r="P15" s="12" t="n"/>
      <c r="Q15" s="12" t="n"/>
      <c r="R15" s="14">
        <f>IF(ISBLANK(C15), "", P15+Q15)</f>
        <v/>
      </c>
      <c r="S15" s="12" t="n"/>
      <c r="T15" s="12" t="n"/>
      <c r="U15" s="14">
        <f>IF(ISBLANK(C15), "", S15+T15)</f>
        <v/>
      </c>
      <c r="V15" s="25">
        <f>IF(ISBLANK(C15), "", F15+I15+L15+O15+R15+U15)</f>
        <v/>
      </c>
      <c r="W15" s="17">
        <f>IF(OR(ISBLANK(C15), V15=""), "", ROUND((V15/600)*100, 1))</f>
        <v/>
      </c>
      <c r="X15" s="14">
        <f>IF(OR(ISBLANK(C15), V15=""), "", IF(AND(F15&gt;=35, I15&gt;=35, L15&gt;=35, O15&gt;=35, R15&gt;=35, U15&gt;=35), "PASS", "FAIL"))</f>
        <v/>
      </c>
      <c r="Y15" s="14">
        <f>IF(OR(ISBLANK(C15), X15=""), "", IF(X15="FAIL", "F", IF(W15&gt;=90, "A+", IF(W15&gt;=80, "A", IF(W15&gt;=70, "B", IF(W15&gt;=50, "C", "D"))))))</f>
        <v/>
      </c>
      <c r="Z15" s="14">
        <f>IF(OR(ISBLANK(C15), V15=""), "", RANK(V15, $V$6:$V$20))</f>
        <v/>
      </c>
    </row>
    <row r="16">
      <c r="A16" s="5" t="inlineStr"/>
      <c r="B16" s="5" t="inlineStr"/>
      <c r="C16" s="6" t="inlineStr"/>
      <c r="D16" s="5" t="n"/>
      <c r="E16" s="5" t="n"/>
      <c r="F16" s="7">
        <f>IF(ISBLANK(C16), "", D16+E16)</f>
        <v/>
      </c>
      <c r="G16" s="5" t="n"/>
      <c r="H16" s="5" t="n"/>
      <c r="I16" s="7">
        <f>IF(ISBLANK(C16), "", G16+H16)</f>
        <v/>
      </c>
      <c r="J16" s="5" t="n"/>
      <c r="K16" s="5" t="n"/>
      <c r="L16" s="7">
        <f>IF(ISBLANK(C16), "", J16+K16)</f>
        <v/>
      </c>
      <c r="M16" s="5" t="n"/>
      <c r="N16" s="5" t="n"/>
      <c r="O16" s="7">
        <f>IF(ISBLANK(C16), "", M16+N16)</f>
        <v/>
      </c>
      <c r="P16" s="5" t="n"/>
      <c r="Q16" s="5" t="n"/>
      <c r="R16" s="7">
        <f>IF(ISBLANK(C16), "", P16+Q16)</f>
        <v/>
      </c>
      <c r="S16" s="5" t="n"/>
      <c r="T16" s="5" t="n"/>
      <c r="U16" s="7">
        <f>IF(ISBLANK(C16), "", S16+T16)</f>
        <v/>
      </c>
      <c r="V16" s="24">
        <f>IF(ISBLANK(C16), "", F16+I16+L16+O16+R16+U16)</f>
        <v/>
      </c>
      <c r="W16" s="10">
        <f>IF(OR(ISBLANK(C16), V16=""), "", ROUND((V16/600)*100, 1))</f>
        <v/>
      </c>
      <c r="X16" s="7">
        <f>IF(OR(ISBLANK(C16), V16=""), "", IF(AND(F16&gt;=35, I16&gt;=35, L16&gt;=35, O16&gt;=35, R16&gt;=35, U16&gt;=35), "PASS", "FAIL"))</f>
        <v/>
      </c>
      <c r="Y16" s="7">
        <f>IF(OR(ISBLANK(C16), X16=""), "", IF(X16="FAIL", "F", IF(W16&gt;=90, "A+", IF(W16&gt;=80, "A", IF(W16&gt;=70, "B", IF(W16&gt;=50, "C", "D"))))))</f>
        <v/>
      </c>
      <c r="Z16" s="7">
        <f>IF(OR(ISBLANK(C16), V16=""), "", RANK(V16, $V$6:$V$20))</f>
        <v/>
      </c>
    </row>
    <row r="17">
      <c r="A17" s="12" t="inlineStr"/>
      <c r="B17" s="12" t="inlineStr"/>
      <c r="C17" s="13" t="inlineStr"/>
      <c r="D17" s="12" t="n"/>
      <c r="E17" s="12" t="n"/>
      <c r="F17" s="14">
        <f>IF(ISBLANK(C17), "", D17+E17)</f>
        <v/>
      </c>
      <c r="G17" s="12" t="n"/>
      <c r="H17" s="12" t="n"/>
      <c r="I17" s="14">
        <f>IF(ISBLANK(C17), "", G17+H17)</f>
        <v/>
      </c>
      <c r="J17" s="12" t="n"/>
      <c r="K17" s="12" t="n"/>
      <c r="L17" s="14">
        <f>IF(ISBLANK(C17), "", J17+K17)</f>
        <v/>
      </c>
      <c r="M17" s="12" t="n"/>
      <c r="N17" s="12" t="n"/>
      <c r="O17" s="14">
        <f>IF(ISBLANK(C17), "", M17+N17)</f>
        <v/>
      </c>
      <c r="P17" s="12" t="n"/>
      <c r="Q17" s="12" t="n"/>
      <c r="R17" s="14">
        <f>IF(ISBLANK(C17), "", P17+Q17)</f>
        <v/>
      </c>
      <c r="S17" s="12" t="n"/>
      <c r="T17" s="12" t="n"/>
      <c r="U17" s="14">
        <f>IF(ISBLANK(C17), "", S17+T17)</f>
        <v/>
      </c>
      <c r="V17" s="25">
        <f>IF(ISBLANK(C17), "", F17+I17+L17+O17+R17+U17)</f>
        <v/>
      </c>
      <c r="W17" s="17">
        <f>IF(OR(ISBLANK(C17), V17=""), "", ROUND((V17/600)*100, 1))</f>
        <v/>
      </c>
      <c r="X17" s="14">
        <f>IF(OR(ISBLANK(C17), V17=""), "", IF(AND(F17&gt;=35, I17&gt;=35, L17&gt;=35, O17&gt;=35, R17&gt;=35, U17&gt;=35), "PASS", "FAIL"))</f>
        <v/>
      </c>
      <c r="Y17" s="14">
        <f>IF(OR(ISBLANK(C17), X17=""), "", IF(X17="FAIL", "F", IF(W17&gt;=90, "A+", IF(W17&gt;=80, "A", IF(W17&gt;=70, "B", IF(W17&gt;=50, "C", "D"))))))</f>
        <v/>
      </c>
      <c r="Z17" s="14">
        <f>IF(OR(ISBLANK(C17), V17=""), "", RANK(V17, $V$6:$V$20))</f>
        <v/>
      </c>
    </row>
    <row r="18">
      <c r="A18" s="5" t="inlineStr"/>
      <c r="B18" s="5" t="inlineStr"/>
      <c r="C18" s="6" t="inlineStr"/>
      <c r="D18" s="5" t="n"/>
      <c r="E18" s="5" t="n"/>
      <c r="F18" s="7">
        <f>IF(ISBLANK(C18), "", D18+E18)</f>
        <v/>
      </c>
      <c r="G18" s="5" t="n"/>
      <c r="H18" s="5" t="n"/>
      <c r="I18" s="7">
        <f>IF(ISBLANK(C18), "", G18+H18)</f>
        <v/>
      </c>
      <c r="J18" s="5" t="n"/>
      <c r="K18" s="5" t="n"/>
      <c r="L18" s="7">
        <f>IF(ISBLANK(C18), "", J18+K18)</f>
        <v/>
      </c>
      <c r="M18" s="5" t="n"/>
      <c r="N18" s="5" t="n"/>
      <c r="O18" s="7">
        <f>IF(ISBLANK(C18), "", M18+N18)</f>
        <v/>
      </c>
      <c r="P18" s="5" t="n"/>
      <c r="Q18" s="5" t="n"/>
      <c r="R18" s="7">
        <f>IF(ISBLANK(C18), "", P18+Q18)</f>
        <v/>
      </c>
      <c r="S18" s="5" t="n"/>
      <c r="T18" s="5" t="n"/>
      <c r="U18" s="7">
        <f>IF(ISBLANK(C18), "", S18+T18)</f>
        <v/>
      </c>
      <c r="V18" s="24">
        <f>IF(ISBLANK(C18), "", F18+I18+L18+O18+R18+U18)</f>
        <v/>
      </c>
      <c r="W18" s="10">
        <f>IF(OR(ISBLANK(C18), V18=""), "", ROUND((V18/600)*100, 1))</f>
        <v/>
      </c>
      <c r="X18" s="7">
        <f>IF(OR(ISBLANK(C18), V18=""), "", IF(AND(F18&gt;=35, I18&gt;=35, L18&gt;=35, O18&gt;=35, R18&gt;=35, U18&gt;=35), "PASS", "FAIL"))</f>
        <v/>
      </c>
      <c r="Y18" s="7">
        <f>IF(OR(ISBLANK(C18), X18=""), "", IF(X18="FAIL", "F", IF(W18&gt;=90, "A+", IF(W18&gt;=80, "A", IF(W18&gt;=70, "B", IF(W18&gt;=50, "C", "D"))))))</f>
        <v/>
      </c>
      <c r="Z18" s="7">
        <f>IF(OR(ISBLANK(C18), V18=""), "", RANK(V18, $V$6:$V$20))</f>
        <v/>
      </c>
    </row>
    <row r="19">
      <c r="A19" s="12" t="inlineStr"/>
      <c r="B19" s="12" t="inlineStr"/>
      <c r="C19" s="13" t="inlineStr"/>
      <c r="D19" s="12" t="n"/>
      <c r="E19" s="12" t="n"/>
      <c r="F19" s="14">
        <f>IF(ISBLANK(C19), "", D19+E19)</f>
        <v/>
      </c>
      <c r="G19" s="12" t="n"/>
      <c r="H19" s="12" t="n"/>
      <c r="I19" s="14">
        <f>IF(ISBLANK(C19), "", G19+H19)</f>
        <v/>
      </c>
      <c r="J19" s="12" t="n"/>
      <c r="K19" s="12" t="n"/>
      <c r="L19" s="14">
        <f>IF(ISBLANK(C19), "", J19+K19)</f>
        <v/>
      </c>
      <c r="M19" s="12" t="n"/>
      <c r="N19" s="12" t="n"/>
      <c r="O19" s="14">
        <f>IF(ISBLANK(C19), "", M19+N19)</f>
        <v/>
      </c>
      <c r="P19" s="12" t="n"/>
      <c r="Q19" s="12" t="n"/>
      <c r="R19" s="14">
        <f>IF(ISBLANK(C19), "", P19+Q19)</f>
        <v/>
      </c>
      <c r="S19" s="12" t="n"/>
      <c r="T19" s="12" t="n"/>
      <c r="U19" s="14">
        <f>IF(ISBLANK(C19), "", S19+T19)</f>
        <v/>
      </c>
      <c r="V19" s="25">
        <f>IF(ISBLANK(C19), "", F19+I19+L19+O19+R19+U19)</f>
        <v/>
      </c>
      <c r="W19" s="17">
        <f>IF(OR(ISBLANK(C19), V19=""), "", ROUND((V19/600)*100, 1))</f>
        <v/>
      </c>
      <c r="X19" s="14">
        <f>IF(OR(ISBLANK(C19), V19=""), "", IF(AND(F19&gt;=35, I19&gt;=35, L19&gt;=35, O19&gt;=35, R19&gt;=35, U19&gt;=35), "PASS", "FAIL"))</f>
        <v/>
      </c>
      <c r="Y19" s="14">
        <f>IF(OR(ISBLANK(C19), X19=""), "", IF(X19="FAIL", "F", IF(W19&gt;=90, "A+", IF(W19&gt;=80, "A", IF(W19&gt;=70, "B", IF(W19&gt;=50, "C", "D"))))))</f>
        <v/>
      </c>
      <c r="Z19" s="14">
        <f>IF(OR(ISBLANK(C19), V19=""), "", RANK(V19, $V$6:$V$20))</f>
        <v/>
      </c>
    </row>
    <row r="20">
      <c r="A20" s="5" t="inlineStr"/>
      <c r="B20" s="5" t="inlineStr"/>
      <c r="C20" s="6" t="inlineStr"/>
      <c r="D20" s="5" t="n"/>
      <c r="E20" s="5" t="n"/>
      <c r="F20" s="7">
        <f>IF(ISBLANK(C20), "", D20+E20)</f>
        <v/>
      </c>
      <c r="G20" s="5" t="n"/>
      <c r="H20" s="5" t="n"/>
      <c r="I20" s="7">
        <f>IF(ISBLANK(C20), "", G20+H20)</f>
        <v/>
      </c>
      <c r="J20" s="5" t="n"/>
      <c r="K20" s="5" t="n"/>
      <c r="L20" s="7">
        <f>IF(ISBLANK(C20), "", J20+K20)</f>
        <v/>
      </c>
      <c r="M20" s="5" t="n"/>
      <c r="N20" s="5" t="n"/>
      <c r="O20" s="7">
        <f>IF(ISBLANK(C20), "", M20+N20)</f>
        <v/>
      </c>
      <c r="P20" s="5" t="n"/>
      <c r="Q20" s="5" t="n"/>
      <c r="R20" s="7">
        <f>IF(ISBLANK(C20), "", P20+Q20)</f>
        <v/>
      </c>
      <c r="S20" s="5" t="n"/>
      <c r="T20" s="5" t="n"/>
      <c r="U20" s="7">
        <f>IF(ISBLANK(C20), "", S20+T20)</f>
        <v/>
      </c>
      <c r="V20" s="24">
        <f>IF(ISBLANK(C20), "", F20+I20+L20+O20+R20+U20)</f>
        <v/>
      </c>
      <c r="W20" s="10">
        <f>IF(OR(ISBLANK(C20), V20=""), "", ROUND((V20/600)*100, 1))</f>
        <v/>
      </c>
      <c r="X20" s="7">
        <f>IF(OR(ISBLANK(C20), V20=""), "", IF(AND(F20&gt;=35, I20&gt;=35, L20&gt;=35, O20&gt;=35, R20&gt;=35, U20&gt;=35), "PASS", "FAIL"))</f>
        <v/>
      </c>
      <c r="Y20" s="7">
        <f>IF(OR(ISBLANK(C20), X20=""), "", IF(X20="FAIL", "F", IF(W20&gt;=90, "A+", IF(W20&gt;=80, "A", IF(W20&gt;=70, "B", IF(W20&gt;=50, "C", "D"))))))</f>
        <v/>
      </c>
      <c r="Z20" s="7">
        <f>IF(OR(ISBLANK(C20), V20=""), "", RANK(V20, $V$6:$V$20))</f>
        <v/>
      </c>
    </row>
    <row r="22">
      <c r="A22" t="inlineStr"/>
    </row>
    <row r="23">
      <c r="A23" s="26" t="inlineStr">
        <is>
          <t>CLASS AVERAGE</t>
        </is>
      </c>
      <c r="B23" s="27" t="n"/>
      <c r="C23" s="27" t="n"/>
      <c r="D23" s="28">
        <f>IF(COUNTA(C6:C20)&gt;0, ROUND(AVERAGE(F6:F20), 1), "-")</f>
        <v/>
      </c>
      <c r="E23" s="27" t="n"/>
      <c r="F23" s="27" t="n"/>
      <c r="G23" s="28">
        <f>IF(COUNTA(C6:C20)&gt;0, ROUND(AVERAGE(I6:I20), 1), "-")</f>
        <v/>
      </c>
      <c r="H23" s="27" t="n"/>
      <c r="I23" s="27" t="n"/>
      <c r="J23" s="28">
        <f>IF(COUNTA(C6:C20)&gt;0, ROUND(AVERAGE(L6:L20), 1), "-")</f>
        <v/>
      </c>
      <c r="K23" s="27" t="n"/>
      <c r="L23" s="27" t="n"/>
      <c r="M23" s="28">
        <f>IF(COUNTA(C6:C20)&gt;0, ROUND(AVERAGE(O6:O20), 1), "-")</f>
        <v/>
      </c>
      <c r="N23" s="27" t="n"/>
      <c r="O23" s="27" t="n"/>
      <c r="P23" s="28">
        <f>IF(COUNTA(C6:C20)&gt;0, ROUND(AVERAGE(R6:R20), 1), "-")</f>
        <v/>
      </c>
      <c r="Q23" s="27" t="n"/>
      <c r="R23" s="27" t="n"/>
      <c r="S23" s="28">
        <f>IF(COUNTA(C6:C20)&gt;0, ROUND(AVERAGE(U6:U20), 1), "-")</f>
        <v/>
      </c>
      <c r="T23" s="27" t="n"/>
      <c r="U23" s="27" t="n"/>
      <c r="V23" s="29">
        <f>IF(COUNTA(C6:C20)&gt;0, ROUND(AVERAGE(V6:V20), 1), "-")</f>
        <v/>
      </c>
      <c r="W23" s="30">
        <f>IF(COUNTA(C6:C20)&gt;0, ROUND(AVERAGE(W6:W20), 1), "-")</f>
        <v/>
      </c>
      <c r="X23" s="27" t="n"/>
      <c r="Y23" s="27" t="n"/>
      <c r="Z23" s="27" t="n"/>
    </row>
    <row r="24">
      <c r="A24" s="26" t="inlineStr">
        <is>
          <t>HIGHEST MARKS</t>
        </is>
      </c>
      <c r="B24" s="27" t="n"/>
      <c r="C24" s="27" t="n"/>
      <c r="D24" s="31">
        <f>IF(COUNTA(C6:C20)&gt;0, MAX(F6:F20), "-")</f>
        <v/>
      </c>
      <c r="E24" s="27" t="n"/>
      <c r="F24" s="27" t="n"/>
      <c r="G24" s="31">
        <f>IF(COUNTA(C6:C20)&gt;0, MAX(I6:I20), "-")</f>
        <v/>
      </c>
      <c r="H24" s="27" t="n"/>
      <c r="I24" s="27" t="n"/>
      <c r="J24" s="31">
        <f>IF(COUNTA(C6:C20)&gt;0, MAX(L6:L20), "-")</f>
        <v/>
      </c>
      <c r="K24" s="27" t="n"/>
      <c r="L24" s="27" t="n"/>
      <c r="M24" s="31">
        <f>IF(COUNTA(C6:C20)&gt;0, MAX(O6:O20), "-")</f>
        <v/>
      </c>
      <c r="N24" s="27" t="n"/>
      <c r="O24" s="27" t="n"/>
      <c r="P24" s="31">
        <f>IF(COUNTA(C6:C20)&gt;0, MAX(R6:R20), "-")</f>
        <v/>
      </c>
      <c r="Q24" s="27" t="n"/>
      <c r="R24" s="27" t="n"/>
      <c r="S24" s="31">
        <f>IF(COUNTA(C6:C20)&gt;0, MAX(U6:U20), "-")</f>
        <v/>
      </c>
      <c r="T24" s="27" t="n"/>
      <c r="U24" s="27" t="n"/>
      <c r="V24" s="32">
        <f>IF(COUNTA(C6:C20)&gt;0, MAX(V6:V20), "-")</f>
        <v/>
      </c>
      <c r="W24" s="30">
        <f>IF(COUNTA(C6:C20)&gt;0, MAX(W6:W20), "-")</f>
        <v/>
      </c>
      <c r="X24" s="27" t="n"/>
      <c r="Y24" s="27" t="n"/>
      <c r="Z24" s="27" t="n"/>
    </row>
    <row r="25">
      <c r="A25" s="26" t="inlineStr">
        <is>
          <t>LOWEST MARKS</t>
        </is>
      </c>
      <c r="B25" s="27" t="n"/>
      <c r="C25" s="27" t="n"/>
      <c r="D25" s="31">
        <f>IF(COUNTA(C6:C20)&gt;0, MIN(F6:F20), "-")</f>
        <v/>
      </c>
      <c r="E25" s="27" t="n"/>
      <c r="F25" s="27" t="n"/>
      <c r="G25" s="31">
        <f>IF(COUNTA(C6:C20)&gt;0, MIN(I6:I20), "-")</f>
        <v/>
      </c>
      <c r="H25" s="27" t="n"/>
      <c r="I25" s="27" t="n"/>
      <c r="J25" s="31">
        <f>IF(COUNTA(C6:C20)&gt;0, MIN(L6:L20), "-")</f>
        <v/>
      </c>
      <c r="K25" s="27" t="n"/>
      <c r="L25" s="27" t="n"/>
      <c r="M25" s="31">
        <f>IF(COUNTA(C6:C20)&gt;0, MIN(O6:O20), "-")</f>
        <v/>
      </c>
      <c r="N25" s="27" t="n"/>
      <c r="O25" s="27" t="n"/>
      <c r="P25" s="31">
        <f>IF(COUNTA(C6:C20)&gt;0, MIN(R6:R20), "-")</f>
        <v/>
      </c>
      <c r="Q25" s="27" t="n"/>
      <c r="R25" s="27" t="n"/>
      <c r="S25" s="31">
        <f>IF(COUNTA(C6:C20)&gt;0, MIN(U6:U20), "-")</f>
        <v/>
      </c>
      <c r="T25" s="27" t="n"/>
      <c r="U25" s="27" t="n"/>
      <c r="V25" s="32">
        <f>IF(COUNTA(C6:C20)&gt;0, MIN(V6:V20), "-")</f>
        <v/>
      </c>
      <c r="W25" s="30">
        <f>IF(COUNTA(C6:C20)&gt;0, MIN(W6:W20), "-")</f>
        <v/>
      </c>
      <c r="X25" s="27" t="n"/>
      <c r="Y25" s="27" t="n"/>
      <c r="Z25" s="27" t="n"/>
    </row>
    <row r="26">
      <c r="A26" s="26" t="inlineStr">
        <is>
          <t>TOTAL PASSED</t>
        </is>
      </c>
      <c r="B26" s="27" t="n"/>
      <c r="C26" s="27" t="n"/>
      <c r="D26" s="31">
        <f>COUNTIF(F6:F20, "&gt;=35")</f>
        <v/>
      </c>
      <c r="E26" s="27" t="n"/>
      <c r="F26" s="27" t="n"/>
      <c r="G26" s="31">
        <f>COUNTIF(I6:I20, "&gt;=35")</f>
        <v/>
      </c>
      <c r="H26" s="27" t="n"/>
      <c r="I26" s="27" t="n"/>
      <c r="J26" s="31">
        <f>COUNTIF(L6:L20, "&gt;=35")</f>
        <v/>
      </c>
      <c r="K26" s="27" t="n"/>
      <c r="L26" s="27" t="n"/>
      <c r="M26" s="31">
        <f>COUNTIF(O6:O20, "&gt;=35")</f>
        <v/>
      </c>
      <c r="N26" s="27" t="n"/>
      <c r="O26" s="27" t="n"/>
      <c r="P26" s="31">
        <f>COUNTIF(R6:R20, "&gt;=35")</f>
        <v/>
      </c>
      <c r="Q26" s="27" t="n"/>
      <c r="R26" s="27" t="n"/>
      <c r="S26" s="31">
        <f>COUNTIF(U6:U20, "&gt;=35")</f>
        <v/>
      </c>
      <c r="T26" s="27" t="n"/>
      <c r="U26" s="27" t="n"/>
      <c r="V26" s="32">
        <f>COUNTIF(X6:X20, "PASS")</f>
        <v/>
      </c>
      <c r="W26" s="31" t="n"/>
      <c r="X26" s="27" t="n"/>
      <c r="Y26" s="27" t="n"/>
      <c r="Z26" s="27" t="n"/>
    </row>
    <row r="27">
      <c r="A27" s="26" t="inlineStr">
        <is>
          <t>PASS PERCENTAGE (%)</t>
        </is>
      </c>
      <c r="B27" s="27" t="n"/>
      <c r="C27" s="27" t="n"/>
      <c r="D27" s="30">
        <f>IF(COUNTA(C6:C20)&gt;0, ROUND((D26/COUNTA(C6:C20))*100, 1), "-")</f>
        <v/>
      </c>
      <c r="E27" s="27" t="n"/>
      <c r="F27" s="27" t="n"/>
      <c r="G27" s="30">
        <f>IF(COUNTA(C6:C20)&gt;0, ROUND((G26/COUNTA(C6:C20))*100, 1), "-")</f>
        <v/>
      </c>
      <c r="H27" s="27" t="n"/>
      <c r="I27" s="27" t="n"/>
      <c r="J27" s="30">
        <f>IF(COUNTA(C6:C20)&gt;0, ROUND((J26/COUNTA(C6:C20))*100, 1), "-")</f>
        <v/>
      </c>
      <c r="K27" s="27" t="n"/>
      <c r="L27" s="27" t="n"/>
      <c r="M27" s="30">
        <f>IF(COUNTA(C6:C20)&gt;0, ROUND((M26/COUNTA(C6:C20))*100, 1), "-")</f>
        <v/>
      </c>
      <c r="N27" s="27" t="n"/>
      <c r="O27" s="27" t="n"/>
      <c r="P27" s="30">
        <f>IF(COUNTA(C6:C20)&gt;0, ROUND((P26/COUNTA(C6:C20))*100, 1), "-")</f>
        <v/>
      </c>
      <c r="Q27" s="27" t="n"/>
      <c r="R27" s="27" t="n"/>
      <c r="S27" s="30">
        <f>IF(COUNTA(C6:C20)&gt;0, ROUND((S26/COUNTA(C6:C20))*100, 1), "-")</f>
        <v/>
      </c>
      <c r="T27" s="27" t="n"/>
      <c r="U27" s="27" t="n"/>
      <c r="V27" s="33">
        <f>IF(COUNTA(C6:C20)&gt;0, ROUND((V26/COUNTA(C6:C20))*100, 1), "-")</f>
        <v/>
      </c>
      <c r="W27" s="31" t="n"/>
      <c r="X27" s="27" t="n"/>
      <c r="Y27" s="27" t="n"/>
      <c r="Z27" s="27" t="n"/>
    </row>
  </sheetData>
  <mergeCells count="51">
    <mergeCell ref="A25:C25"/>
    <mergeCell ref="J24:L24"/>
    <mergeCell ref="D27:F27"/>
    <mergeCell ref="P27:R27"/>
    <mergeCell ref="C4:C5"/>
    <mergeCell ref="S23:U23"/>
    <mergeCell ref="V4:V5"/>
    <mergeCell ref="J27:L27"/>
    <mergeCell ref="A27:C27"/>
    <mergeCell ref="J4:L4"/>
    <mergeCell ref="P23:R23"/>
    <mergeCell ref="M25:O25"/>
    <mergeCell ref="J26:L26"/>
    <mergeCell ref="A26:C26"/>
    <mergeCell ref="G24:I24"/>
    <mergeCell ref="J25:L25"/>
    <mergeCell ref="M27:O27"/>
    <mergeCell ref="A1:Z1"/>
    <mergeCell ref="A23:C23"/>
    <mergeCell ref="S24:U24"/>
    <mergeCell ref="D4:F4"/>
    <mergeCell ref="G4:I4"/>
    <mergeCell ref="G26:I26"/>
    <mergeCell ref="M26:O26"/>
    <mergeCell ref="D25:F25"/>
    <mergeCell ref="M24:O24"/>
    <mergeCell ref="D24:F24"/>
    <mergeCell ref="G25:I25"/>
    <mergeCell ref="M23:O23"/>
    <mergeCell ref="D23:F23"/>
    <mergeCell ref="P24:R24"/>
    <mergeCell ref="A4:A5"/>
    <mergeCell ref="X4:X5"/>
    <mergeCell ref="M4:O4"/>
    <mergeCell ref="S4:U4"/>
    <mergeCell ref="Z4:Z5"/>
    <mergeCell ref="J23:L23"/>
    <mergeCell ref="S26:U26"/>
    <mergeCell ref="D26:F26"/>
    <mergeCell ref="A2:Z2"/>
    <mergeCell ref="P4:R4"/>
    <mergeCell ref="S25:U25"/>
    <mergeCell ref="A24:C24"/>
    <mergeCell ref="P26:R26"/>
    <mergeCell ref="B4:B5"/>
    <mergeCell ref="P25:R25"/>
    <mergeCell ref="G27:I27"/>
    <mergeCell ref="S27:U27"/>
    <mergeCell ref="W4:W5"/>
    <mergeCell ref="Y4:Y5"/>
    <mergeCell ref="G23:I23"/>
  </mergeCells>
  <conditionalFormatting sqref="X6:X20">
    <cfRule type="cellIs" priority="1" operator="equal" dxfId="0">
      <formula>"PASS"</formula>
    </cfRule>
    <cfRule type="cellIs" priority="2" operator="equal" dxfId="1">
      <formula>"FAIL"</formula>
    </cfRule>
  </conditionalFormatting>
  <conditionalFormatting sqref="Y6:Y20">
    <cfRule type="cellIs" priority="3" operator="equal" dxfId="2">
      <formula>"A+"</formula>
    </cfRule>
  </conditionalFormatting>
  <dataValidations count="2">
    <dataValidation sqref="D6:D20 G6:G20 J6:J20 M6:M20 P6:P20 S6:S20" showDropDown="0" showInputMessage="0" showErrorMessage="0" allowBlank="1" type="whole" operator="between">
      <formula1>0</formula1>
      <formula2>80</formula2>
    </dataValidation>
    <dataValidation sqref="E6:E20 H6:H20 K6:K20 N6:N20 Q6:Q20 T6:T20" showDropDown="0" showInputMessage="0" showErrorMessage="0" allowBlank="1" type="whole" operator="between">
      <formula1>0</formula1>
      <formula2>20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7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24" customWidth="1" min="3" max="3"/>
    <col width="9" customWidth="1" min="4" max="4"/>
    <col width="9" customWidth="1" min="5" max="5"/>
    <col width="11" customWidth="1" min="6" max="6"/>
    <col width="9" customWidth="1" min="7" max="7"/>
    <col width="9" customWidth="1" min="8" max="8"/>
    <col width="11" customWidth="1" min="9" max="9"/>
    <col width="9" customWidth="1" min="10" max="10"/>
    <col width="9" customWidth="1" min="11" max="11"/>
    <col width="11" customWidth="1" min="12" max="12"/>
    <col width="9" customWidth="1" min="13" max="13"/>
    <col width="9" customWidth="1" min="14" max="14"/>
    <col width="11" customWidth="1" min="15" max="15"/>
    <col width="9" customWidth="1" min="16" max="16"/>
    <col width="9" customWidth="1" min="17" max="17"/>
    <col width="11" customWidth="1" min="18" max="18"/>
    <col width="9" customWidth="1" min="19" max="19"/>
    <col width="9" customWidth="1" min="20" max="20"/>
    <col width="11" customWidth="1" min="21" max="21"/>
    <col width="14" customWidth="1" min="22" max="22"/>
    <col width="13" customWidth="1" min="23" max="23"/>
    <col width="11" customWidth="1" min="24" max="24"/>
    <col width="9" customWidth="1" min="25" max="25"/>
    <col width="10" customWidth="1" min="26" max="26"/>
  </cols>
  <sheetData>
    <row r="1" ht="38" customHeight="1">
      <c r="A1" s="1" t="inlineStr">
        <is>
          <t>EVAL AI (ADEM) — [CLASS NAME] EXAMINATION MARK SHEET</t>
        </is>
      </c>
    </row>
    <row r="2" ht="22" customHeight="1">
      <c r="A2" s="2" t="inlineStr">
        <is>
          <t>Academic Year: 2025–2026  |  Class: [Class Name]  |  Total Subjects: 6  |  Max Marks: 600  |  Pass: Min 35% in each subject</t>
        </is>
      </c>
    </row>
    <row r="3" ht="8" customHeight="1"/>
    <row r="4" ht="26" customHeight="1">
      <c r="A4" s="19" t="inlineStr">
        <is>
          <t>S.No</t>
        </is>
      </c>
      <c r="B4" s="19" t="inlineStr">
        <is>
          <t>Roll No</t>
        </is>
      </c>
      <c r="C4" s="19" t="inlineStr">
        <is>
          <t>Student Name</t>
        </is>
      </c>
      <c r="D4" s="20" t="inlineStr">
        <is>
          <t>BIOLOGY (100)</t>
        </is>
      </c>
      <c r="E4" s="21" t="n"/>
      <c r="F4" s="21" t="n"/>
      <c r="G4" s="20" t="inlineStr">
        <is>
          <t>BIOLOGY (100)</t>
        </is>
      </c>
      <c r="H4" s="21" t="n"/>
      <c r="I4" s="21" t="n"/>
      <c r="J4" s="20" t="inlineStr">
        <is>
          <t>CHEMISTRY (100)</t>
        </is>
      </c>
      <c r="K4" s="21" t="n"/>
      <c r="L4" s="21" t="n"/>
      <c r="M4" s="20" t="inlineStr">
        <is>
          <t>CHEMISTRY (100)</t>
        </is>
      </c>
      <c r="N4" s="21" t="n"/>
      <c r="O4" s="21" t="n"/>
      <c r="P4" s="20" t="inlineStr">
        <is>
          <t>MATHS (100)</t>
        </is>
      </c>
      <c r="Q4" s="21" t="n"/>
      <c r="R4" s="21" t="n"/>
      <c r="S4" s="20" t="inlineStr">
        <is>
          <t>PHYSICS (100)</t>
        </is>
      </c>
      <c r="T4" s="21" t="n"/>
      <c r="U4" s="21" t="n"/>
      <c r="V4" s="20" t="inlineStr">
        <is>
          <t>Grand Total
(600)</t>
        </is>
      </c>
      <c r="W4" s="20" t="inlineStr">
        <is>
          <t>Percentage
(%)</t>
        </is>
      </c>
      <c r="X4" s="20" t="inlineStr">
        <is>
          <t>Result</t>
        </is>
      </c>
      <c r="Y4" s="20" t="inlineStr">
        <is>
          <t>Grade</t>
        </is>
      </c>
      <c r="Z4" s="20" t="inlineStr">
        <is>
          <t>Class
Rank</t>
        </is>
      </c>
    </row>
    <row r="5" ht="28" customHeight="1">
      <c r="A5" s="21" t="n"/>
      <c r="B5" s="21" t="n"/>
      <c r="C5" s="21" t="n"/>
      <c r="D5" s="22" t="inlineStr">
        <is>
          <t>Theory
(80)</t>
        </is>
      </c>
      <c r="E5" s="22" t="inlineStr">
        <is>
          <t>Internal
(20)</t>
        </is>
      </c>
      <c r="F5" s="23" t="inlineStr">
        <is>
          <t>Total
(100)</t>
        </is>
      </c>
      <c r="G5" s="22" t="inlineStr">
        <is>
          <t>Theory
(80)</t>
        </is>
      </c>
      <c r="H5" s="22" t="inlineStr">
        <is>
          <t>Internal
(20)</t>
        </is>
      </c>
      <c r="I5" s="23" t="inlineStr">
        <is>
          <t>Total
(100)</t>
        </is>
      </c>
      <c r="J5" s="22" t="inlineStr">
        <is>
          <t>Theory
(80)</t>
        </is>
      </c>
      <c r="K5" s="22" t="inlineStr">
        <is>
          <t>Internal
(20)</t>
        </is>
      </c>
      <c r="L5" s="23" t="inlineStr">
        <is>
          <t>Total
(100)</t>
        </is>
      </c>
      <c r="M5" s="22" t="inlineStr">
        <is>
          <t>Theory
(80)</t>
        </is>
      </c>
      <c r="N5" s="22" t="inlineStr">
        <is>
          <t>Internal
(20)</t>
        </is>
      </c>
      <c r="O5" s="23" t="inlineStr">
        <is>
          <t>Total
(100)</t>
        </is>
      </c>
      <c r="P5" s="22" t="inlineStr">
        <is>
          <t>Theory
(80)</t>
        </is>
      </c>
      <c r="Q5" s="22" t="inlineStr">
        <is>
          <t>Internal
(20)</t>
        </is>
      </c>
      <c r="R5" s="23" t="inlineStr">
        <is>
          <t>Total
(100)</t>
        </is>
      </c>
      <c r="S5" s="22" t="inlineStr">
        <is>
          <t>Theory
(80)</t>
        </is>
      </c>
      <c r="T5" s="22" t="inlineStr">
        <is>
          <t>Internal
(20)</t>
        </is>
      </c>
      <c r="U5" s="23" t="inlineStr">
        <is>
          <t>Total
(100)</t>
        </is>
      </c>
      <c r="V5" s="21" t="n"/>
      <c r="W5" s="21" t="n"/>
      <c r="X5" s="21" t="n"/>
      <c r="Y5" s="21" t="n"/>
      <c r="Z5" s="21" t="n"/>
    </row>
    <row r="6">
      <c r="A6" s="5" t="inlineStr"/>
      <c r="B6" s="5" t="inlineStr"/>
      <c r="C6" s="6" t="inlineStr"/>
      <c r="D6" s="5" t="n"/>
      <c r="E6" s="5" t="n"/>
      <c r="F6" s="7">
        <f>IF(ISBLANK(C6), "", D6+E6)</f>
        <v/>
      </c>
      <c r="G6" s="5" t="n"/>
      <c r="H6" s="5" t="n"/>
      <c r="I6" s="7">
        <f>IF(ISBLANK(C6), "", G6+H6)</f>
        <v/>
      </c>
      <c r="J6" s="5" t="n"/>
      <c r="K6" s="5" t="n"/>
      <c r="L6" s="7">
        <f>IF(ISBLANK(C6), "", J6+K6)</f>
        <v/>
      </c>
      <c r="M6" s="5" t="n"/>
      <c r="N6" s="5" t="n"/>
      <c r="O6" s="7">
        <f>IF(ISBLANK(C6), "", M6+N6)</f>
        <v/>
      </c>
      <c r="P6" s="5" t="n"/>
      <c r="Q6" s="5" t="n"/>
      <c r="R6" s="7">
        <f>IF(ISBLANK(C6), "", P6+Q6)</f>
        <v/>
      </c>
      <c r="S6" s="5" t="n"/>
      <c r="T6" s="5" t="n"/>
      <c r="U6" s="7">
        <f>IF(ISBLANK(C6), "", S6+T6)</f>
        <v/>
      </c>
      <c r="V6" s="24">
        <f>IF(ISBLANK(C6), "", F6+I6+L6+O6+R6+U6)</f>
        <v/>
      </c>
      <c r="W6" s="10">
        <f>IF(OR(ISBLANK(C6), V6=""), "", ROUND((V6/600)*100, 1))</f>
        <v/>
      </c>
      <c r="X6" s="7">
        <f>IF(OR(ISBLANK(C6), V6=""), "", IF(AND(F6&gt;=35, I6&gt;=35, L6&gt;=35, O6&gt;=35, R6&gt;=35, U6&gt;=35), "PASS", "FAIL"))</f>
        <v/>
      </c>
      <c r="Y6" s="7">
        <f>IF(OR(ISBLANK(C6), X6=""), "", IF(X6="FAIL", "F", IF(W6&gt;=90, "A+", IF(W6&gt;=80, "A", IF(W6&gt;=70, "B", IF(W6&gt;=50, "C", "D"))))))</f>
        <v/>
      </c>
      <c r="Z6" s="7">
        <f>IF(OR(ISBLANK(C6), V6=""), "", RANK(V6, $V$6:$V$30))</f>
        <v/>
      </c>
    </row>
    <row r="7">
      <c r="A7" s="12" t="inlineStr"/>
      <c r="B7" s="12" t="inlineStr"/>
      <c r="C7" s="13" t="inlineStr"/>
      <c r="D7" s="12" t="n"/>
      <c r="E7" s="12" t="n"/>
      <c r="F7" s="14">
        <f>IF(ISBLANK(C7), "", D7+E7)</f>
        <v/>
      </c>
      <c r="G7" s="12" t="n"/>
      <c r="H7" s="12" t="n"/>
      <c r="I7" s="14">
        <f>IF(ISBLANK(C7), "", G7+H7)</f>
        <v/>
      </c>
      <c r="J7" s="12" t="n"/>
      <c r="K7" s="12" t="n"/>
      <c r="L7" s="14">
        <f>IF(ISBLANK(C7), "", J7+K7)</f>
        <v/>
      </c>
      <c r="M7" s="12" t="n"/>
      <c r="N7" s="12" t="n"/>
      <c r="O7" s="14">
        <f>IF(ISBLANK(C7), "", M7+N7)</f>
        <v/>
      </c>
      <c r="P7" s="12" t="n"/>
      <c r="Q7" s="12" t="n"/>
      <c r="R7" s="14">
        <f>IF(ISBLANK(C7), "", P7+Q7)</f>
        <v/>
      </c>
      <c r="S7" s="12" t="n"/>
      <c r="T7" s="12" t="n"/>
      <c r="U7" s="14">
        <f>IF(ISBLANK(C7), "", S7+T7)</f>
        <v/>
      </c>
      <c r="V7" s="25">
        <f>IF(ISBLANK(C7), "", F7+I7+L7+O7+R7+U7)</f>
        <v/>
      </c>
      <c r="W7" s="17">
        <f>IF(OR(ISBLANK(C7), V7=""), "", ROUND((V7/600)*100, 1))</f>
        <v/>
      </c>
      <c r="X7" s="14">
        <f>IF(OR(ISBLANK(C7), V7=""), "", IF(AND(F7&gt;=35, I7&gt;=35, L7&gt;=35, O7&gt;=35, R7&gt;=35, U7&gt;=35), "PASS", "FAIL"))</f>
        <v/>
      </c>
      <c r="Y7" s="14">
        <f>IF(OR(ISBLANK(C7), X7=""), "", IF(X7="FAIL", "F", IF(W7&gt;=90, "A+", IF(W7&gt;=80, "A", IF(W7&gt;=70, "B", IF(W7&gt;=50, "C", "D"))))))</f>
        <v/>
      </c>
      <c r="Z7" s="14">
        <f>IF(OR(ISBLANK(C7), V7=""), "", RANK(V7, $V$6:$V$30))</f>
        <v/>
      </c>
    </row>
    <row r="8">
      <c r="A8" s="5" t="inlineStr"/>
      <c r="B8" s="5" t="inlineStr"/>
      <c r="C8" s="6" t="inlineStr"/>
      <c r="D8" s="5" t="n"/>
      <c r="E8" s="5" t="n"/>
      <c r="F8" s="7">
        <f>IF(ISBLANK(C8), "", D8+E8)</f>
        <v/>
      </c>
      <c r="G8" s="5" t="n"/>
      <c r="H8" s="5" t="n"/>
      <c r="I8" s="7">
        <f>IF(ISBLANK(C8), "", G8+H8)</f>
        <v/>
      </c>
      <c r="J8" s="5" t="n"/>
      <c r="K8" s="5" t="n"/>
      <c r="L8" s="7">
        <f>IF(ISBLANK(C8), "", J8+K8)</f>
        <v/>
      </c>
      <c r="M8" s="5" t="n"/>
      <c r="N8" s="5" t="n"/>
      <c r="O8" s="7">
        <f>IF(ISBLANK(C8), "", M8+N8)</f>
        <v/>
      </c>
      <c r="P8" s="5" t="n"/>
      <c r="Q8" s="5" t="n"/>
      <c r="R8" s="7">
        <f>IF(ISBLANK(C8), "", P8+Q8)</f>
        <v/>
      </c>
      <c r="S8" s="5" t="n"/>
      <c r="T8" s="5" t="n"/>
      <c r="U8" s="7">
        <f>IF(ISBLANK(C8), "", S8+T8)</f>
        <v/>
      </c>
      <c r="V8" s="24">
        <f>IF(ISBLANK(C8), "", F8+I8+L8+O8+R8+U8)</f>
        <v/>
      </c>
      <c r="W8" s="10">
        <f>IF(OR(ISBLANK(C8), V8=""), "", ROUND((V8/600)*100, 1))</f>
        <v/>
      </c>
      <c r="X8" s="7">
        <f>IF(OR(ISBLANK(C8), V8=""), "", IF(AND(F8&gt;=35, I8&gt;=35, L8&gt;=35, O8&gt;=35, R8&gt;=35, U8&gt;=35), "PASS", "FAIL"))</f>
        <v/>
      </c>
      <c r="Y8" s="7">
        <f>IF(OR(ISBLANK(C8), X8=""), "", IF(X8="FAIL", "F", IF(W8&gt;=90, "A+", IF(W8&gt;=80, "A", IF(W8&gt;=70, "B", IF(W8&gt;=50, "C", "D"))))))</f>
        <v/>
      </c>
      <c r="Z8" s="7">
        <f>IF(OR(ISBLANK(C8), V8=""), "", RANK(V8, $V$6:$V$30))</f>
        <v/>
      </c>
    </row>
    <row r="9">
      <c r="A9" s="12" t="inlineStr"/>
      <c r="B9" s="12" t="inlineStr"/>
      <c r="C9" s="13" t="inlineStr"/>
      <c r="D9" s="12" t="n"/>
      <c r="E9" s="12" t="n"/>
      <c r="F9" s="14">
        <f>IF(ISBLANK(C9), "", D9+E9)</f>
        <v/>
      </c>
      <c r="G9" s="12" t="n"/>
      <c r="H9" s="12" t="n"/>
      <c r="I9" s="14">
        <f>IF(ISBLANK(C9), "", G9+H9)</f>
        <v/>
      </c>
      <c r="J9" s="12" t="n"/>
      <c r="K9" s="12" t="n"/>
      <c r="L9" s="14">
        <f>IF(ISBLANK(C9), "", J9+K9)</f>
        <v/>
      </c>
      <c r="M9" s="12" t="n"/>
      <c r="N9" s="12" t="n"/>
      <c r="O9" s="14">
        <f>IF(ISBLANK(C9), "", M9+N9)</f>
        <v/>
      </c>
      <c r="P9" s="12" t="n"/>
      <c r="Q9" s="12" t="n"/>
      <c r="R9" s="14">
        <f>IF(ISBLANK(C9), "", P9+Q9)</f>
        <v/>
      </c>
      <c r="S9" s="12" t="n"/>
      <c r="T9" s="12" t="n"/>
      <c r="U9" s="14">
        <f>IF(ISBLANK(C9), "", S9+T9)</f>
        <v/>
      </c>
      <c r="V9" s="25">
        <f>IF(ISBLANK(C9), "", F9+I9+L9+O9+R9+U9)</f>
        <v/>
      </c>
      <c r="W9" s="17">
        <f>IF(OR(ISBLANK(C9), V9=""), "", ROUND((V9/600)*100, 1))</f>
        <v/>
      </c>
      <c r="X9" s="14">
        <f>IF(OR(ISBLANK(C9), V9=""), "", IF(AND(F9&gt;=35, I9&gt;=35, L9&gt;=35, O9&gt;=35, R9&gt;=35, U9&gt;=35), "PASS", "FAIL"))</f>
        <v/>
      </c>
      <c r="Y9" s="14">
        <f>IF(OR(ISBLANK(C9), X9=""), "", IF(X9="FAIL", "F", IF(W9&gt;=90, "A+", IF(W9&gt;=80, "A", IF(W9&gt;=70, "B", IF(W9&gt;=50, "C", "D"))))))</f>
        <v/>
      </c>
      <c r="Z9" s="14">
        <f>IF(OR(ISBLANK(C9), V9=""), "", RANK(V9, $V$6:$V$30))</f>
        <v/>
      </c>
    </row>
    <row r="10">
      <c r="A10" s="5" t="inlineStr"/>
      <c r="B10" s="5" t="inlineStr"/>
      <c r="C10" s="6" t="inlineStr"/>
      <c r="D10" s="5" t="n"/>
      <c r="E10" s="5" t="n"/>
      <c r="F10" s="7">
        <f>IF(ISBLANK(C10), "", D10+E10)</f>
        <v/>
      </c>
      <c r="G10" s="5" t="n"/>
      <c r="H10" s="5" t="n"/>
      <c r="I10" s="7">
        <f>IF(ISBLANK(C10), "", G10+H10)</f>
        <v/>
      </c>
      <c r="J10" s="5" t="n"/>
      <c r="K10" s="5" t="n"/>
      <c r="L10" s="7">
        <f>IF(ISBLANK(C10), "", J10+K10)</f>
        <v/>
      </c>
      <c r="M10" s="5" t="n"/>
      <c r="N10" s="5" t="n"/>
      <c r="O10" s="7">
        <f>IF(ISBLANK(C10), "", M10+N10)</f>
        <v/>
      </c>
      <c r="P10" s="5" t="n"/>
      <c r="Q10" s="5" t="n"/>
      <c r="R10" s="7">
        <f>IF(ISBLANK(C10), "", P10+Q10)</f>
        <v/>
      </c>
      <c r="S10" s="5" t="n"/>
      <c r="T10" s="5" t="n"/>
      <c r="U10" s="7">
        <f>IF(ISBLANK(C10), "", S10+T10)</f>
        <v/>
      </c>
      <c r="V10" s="24">
        <f>IF(ISBLANK(C10), "", F10+I10+L10+O10+R10+U10)</f>
        <v/>
      </c>
      <c r="W10" s="10">
        <f>IF(OR(ISBLANK(C10), V10=""), "", ROUND((V10/600)*100, 1))</f>
        <v/>
      </c>
      <c r="X10" s="7">
        <f>IF(OR(ISBLANK(C10), V10=""), "", IF(AND(F10&gt;=35, I10&gt;=35, L10&gt;=35, O10&gt;=35, R10&gt;=35, U10&gt;=35), "PASS", "FAIL"))</f>
        <v/>
      </c>
      <c r="Y10" s="7">
        <f>IF(OR(ISBLANK(C10), X10=""), "", IF(X10="FAIL", "F", IF(W10&gt;=90, "A+", IF(W10&gt;=80, "A", IF(W10&gt;=70, "B", IF(W10&gt;=50, "C", "D"))))))</f>
        <v/>
      </c>
      <c r="Z10" s="7">
        <f>IF(OR(ISBLANK(C10), V10=""), "", RANK(V10, $V$6:$V$30))</f>
        <v/>
      </c>
    </row>
    <row r="11">
      <c r="A11" s="12" t="inlineStr"/>
      <c r="B11" s="12" t="inlineStr"/>
      <c r="C11" s="13" t="inlineStr"/>
      <c r="D11" s="12" t="n"/>
      <c r="E11" s="12" t="n"/>
      <c r="F11" s="14">
        <f>IF(ISBLANK(C11), "", D11+E11)</f>
        <v/>
      </c>
      <c r="G11" s="12" t="n"/>
      <c r="H11" s="12" t="n"/>
      <c r="I11" s="14">
        <f>IF(ISBLANK(C11), "", G11+H11)</f>
        <v/>
      </c>
      <c r="J11" s="12" t="n"/>
      <c r="K11" s="12" t="n"/>
      <c r="L11" s="14">
        <f>IF(ISBLANK(C11), "", J11+K11)</f>
        <v/>
      </c>
      <c r="M11" s="12" t="n"/>
      <c r="N11" s="12" t="n"/>
      <c r="O11" s="14">
        <f>IF(ISBLANK(C11), "", M11+N11)</f>
        <v/>
      </c>
      <c r="P11" s="12" t="n"/>
      <c r="Q11" s="12" t="n"/>
      <c r="R11" s="14">
        <f>IF(ISBLANK(C11), "", P11+Q11)</f>
        <v/>
      </c>
      <c r="S11" s="12" t="n"/>
      <c r="T11" s="12" t="n"/>
      <c r="U11" s="14">
        <f>IF(ISBLANK(C11), "", S11+T11)</f>
        <v/>
      </c>
      <c r="V11" s="25">
        <f>IF(ISBLANK(C11), "", F11+I11+L11+O11+R11+U11)</f>
        <v/>
      </c>
      <c r="W11" s="17">
        <f>IF(OR(ISBLANK(C11), V11=""), "", ROUND((V11/600)*100, 1))</f>
        <v/>
      </c>
      <c r="X11" s="14">
        <f>IF(OR(ISBLANK(C11), V11=""), "", IF(AND(F11&gt;=35, I11&gt;=35, L11&gt;=35, O11&gt;=35, R11&gt;=35, U11&gt;=35), "PASS", "FAIL"))</f>
        <v/>
      </c>
      <c r="Y11" s="14">
        <f>IF(OR(ISBLANK(C11), X11=""), "", IF(X11="FAIL", "F", IF(W11&gt;=90, "A+", IF(W11&gt;=80, "A", IF(W11&gt;=70, "B", IF(W11&gt;=50, "C", "D"))))))</f>
        <v/>
      </c>
      <c r="Z11" s="14">
        <f>IF(OR(ISBLANK(C11), V11=""), "", RANK(V11, $V$6:$V$30))</f>
        <v/>
      </c>
    </row>
    <row r="12">
      <c r="A12" s="5" t="inlineStr"/>
      <c r="B12" s="5" t="inlineStr"/>
      <c r="C12" s="6" t="inlineStr"/>
      <c r="D12" s="5" t="n"/>
      <c r="E12" s="5" t="n"/>
      <c r="F12" s="7">
        <f>IF(ISBLANK(C12), "", D12+E12)</f>
        <v/>
      </c>
      <c r="G12" s="5" t="n"/>
      <c r="H12" s="5" t="n"/>
      <c r="I12" s="7">
        <f>IF(ISBLANK(C12), "", G12+H12)</f>
        <v/>
      </c>
      <c r="J12" s="5" t="n"/>
      <c r="K12" s="5" t="n"/>
      <c r="L12" s="7">
        <f>IF(ISBLANK(C12), "", J12+K12)</f>
        <v/>
      </c>
      <c r="M12" s="5" t="n"/>
      <c r="N12" s="5" t="n"/>
      <c r="O12" s="7">
        <f>IF(ISBLANK(C12), "", M12+N12)</f>
        <v/>
      </c>
      <c r="P12" s="5" t="n"/>
      <c r="Q12" s="5" t="n"/>
      <c r="R12" s="7">
        <f>IF(ISBLANK(C12), "", P12+Q12)</f>
        <v/>
      </c>
      <c r="S12" s="5" t="n"/>
      <c r="T12" s="5" t="n"/>
      <c r="U12" s="7">
        <f>IF(ISBLANK(C12), "", S12+T12)</f>
        <v/>
      </c>
      <c r="V12" s="24">
        <f>IF(ISBLANK(C12), "", F12+I12+L12+O12+R12+U12)</f>
        <v/>
      </c>
      <c r="W12" s="10">
        <f>IF(OR(ISBLANK(C12), V12=""), "", ROUND((V12/600)*100, 1))</f>
        <v/>
      </c>
      <c r="X12" s="7">
        <f>IF(OR(ISBLANK(C12), V12=""), "", IF(AND(F12&gt;=35, I12&gt;=35, L12&gt;=35, O12&gt;=35, R12&gt;=35, U12&gt;=35), "PASS", "FAIL"))</f>
        <v/>
      </c>
      <c r="Y12" s="7">
        <f>IF(OR(ISBLANK(C12), X12=""), "", IF(X12="FAIL", "F", IF(W12&gt;=90, "A+", IF(W12&gt;=80, "A", IF(W12&gt;=70, "B", IF(W12&gt;=50, "C", "D"))))))</f>
        <v/>
      </c>
      <c r="Z12" s="7">
        <f>IF(OR(ISBLANK(C12), V12=""), "", RANK(V12, $V$6:$V$30))</f>
        <v/>
      </c>
    </row>
    <row r="13">
      <c r="A13" s="12" t="inlineStr"/>
      <c r="B13" s="12" t="inlineStr"/>
      <c r="C13" s="13" t="inlineStr"/>
      <c r="D13" s="12" t="n"/>
      <c r="E13" s="12" t="n"/>
      <c r="F13" s="14">
        <f>IF(ISBLANK(C13), "", D13+E13)</f>
        <v/>
      </c>
      <c r="G13" s="12" t="n"/>
      <c r="H13" s="12" t="n"/>
      <c r="I13" s="14">
        <f>IF(ISBLANK(C13), "", G13+H13)</f>
        <v/>
      </c>
      <c r="J13" s="12" t="n"/>
      <c r="K13" s="12" t="n"/>
      <c r="L13" s="14">
        <f>IF(ISBLANK(C13), "", J13+K13)</f>
        <v/>
      </c>
      <c r="M13" s="12" t="n"/>
      <c r="N13" s="12" t="n"/>
      <c r="O13" s="14">
        <f>IF(ISBLANK(C13), "", M13+N13)</f>
        <v/>
      </c>
      <c r="P13" s="12" t="n"/>
      <c r="Q13" s="12" t="n"/>
      <c r="R13" s="14">
        <f>IF(ISBLANK(C13), "", P13+Q13)</f>
        <v/>
      </c>
      <c r="S13" s="12" t="n"/>
      <c r="T13" s="12" t="n"/>
      <c r="U13" s="14">
        <f>IF(ISBLANK(C13), "", S13+T13)</f>
        <v/>
      </c>
      <c r="V13" s="25">
        <f>IF(ISBLANK(C13), "", F13+I13+L13+O13+R13+U13)</f>
        <v/>
      </c>
      <c r="W13" s="17">
        <f>IF(OR(ISBLANK(C13), V13=""), "", ROUND((V13/600)*100, 1))</f>
        <v/>
      </c>
      <c r="X13" s="14">
        <f>IF(OR(ISBLANK(C13), V13=""), "", IF(AND(F13&gt;=35, I13&gt;=35, L13&gt;=35, O13&gt;=35, R13&gt;=35, U13&gt;=35), "PASS", "FAIL"))</f>
        <v/>
      </c>
      <c r="Y13" s="14">
        <f>IF(OR(ISBLANK(C13), X13=""), "", IF(X13="FAIL", "F", IF(W13&gt;=90, "A+", IF(W13&gt;=80, "A", IF(W13&gt;=70, "B", IF(W13&gt;=50, "C", "D"))))))</f>
        <v/>
      </c>
      <c r="Z13" s="14">
        <f>IF(OR(ISBLANK(C13), V13=""), "", RANK(V13, $V$6:$V$30))</f>
        <v/>
      </c>
    </row>
    <row r="14">
      <c r="A14" s="5" t="inlineStr"/>
      <c r="B14" s="5" t="inlineStr"/>
      <c r="C14" s="6" t="inlineStr"/>
      <c r="D14" s="5" t="n"/>
      <c r="E14" s="5" t="n"/>
      <c r="F14" s="7">
        <f>IF(ISBLANK(C14), "", D14+E14)</f>
        <v/>
      </c>
      <c r="G14" s="5" t="n"/>
      <c r="H14" s="5" t="n"/>
      <c r="I14" s="7">
        <f>IF(ISBLANK(C14), "", G14+H14)</f>
        <v/>
      </c>
      <c r="J14" s="5" t="n"/>
      <c r="K14" s="5" t="n"/>
      <c r="L14" s="7">
        <f>IF(ISBLANK(C14), "", J14+K14)</f>
        <v/>
      </c>
      <c r="M14" s="5" t="n"/>
      <c r="N14" s="5" t="n"/>
      <c r="O14" s="7">
        <f>IF(ISBLANK(C14), "", M14+N14)</f>
        <v/>
      </c>
      <c r="P14" s="5" t="n"/>
      <c r="Q14" s="5" t="n"/>
      <c r="R14" s="7">
        <f>IF(ISBLANK(C14), "", P14+Q14)</f>
        <v/>
      </c>
      <c r="S14" s="5" t="n"/>
      <c r="T14" s="5" t="n"/>
      <c r="U14" s="7">
        <f>IF(ISBLANK(C14), "", S14+T14)</f>
        <v/>
      </c>
      <c r="V14" s="24">
        <f>IF(ISBLANK(C14), "", F14+I14+L14+O14+R14+U14)</f>
        <v/>
      </c>
      <c r="W14" s="10">
        <f>IF(OR(ISBLANK(C14), V14=""), "", ROUND((V14/600)*100, 1))</f>
        <v/>
      </c>
      <c r="X14" s="7">
        <f>IF(OR(ISBLANK(C14), V14=""), "", IF(AND(F14&gt;=35, I14&gt;=35, L14&gt;=35, O14&gt;=35, R14&gt;=35, U14&gt;=35), "PASS", "FAIL"))</f>
        <v/>
      </c>
      <c r="Y14" s="7">
        <f>IF(OR(ISBLANK(C14), X14=""), "", IF(X14="FAIL", "F", IF(W14&gt;=90, "A+", IF(W14&gt;=80, "A", IF(W14&gt;=70, "B", IF(W14&gt;=50, "C", "D"))))))</f>
        <v/>
      </c>
      <c r="Z14" s="7">
        <f>IF(OR(ISBLANK(C14), V14=""), "", RANK(V14, $V$6:$V$30))</f>
        <v/>
      </c>
    </row>
    <row r="15">
      <c r="A15" s="12" t="inlineStr"/>
      <c r="B15" s="12" t="inlineStr"/>
      <c r="C15" s="13" t="inlineStr"/>
      <c r="D15" s="12" t="n"/>
      <c r="E15" s="12" t="n"/>
      <c r="F15" s="14">
        <f>IF(ISBLANK(C15), "", D15+E15)</f>
        <v/>
      </c>
      <c r="G15" s="12" t="n"/>
      <c r="H15" s="12" t="n"/>
      <c r="I15" s="14">
        <f>IF(ISBLANK(C15), "", G15+H15)</f>
        <v/>
      </c>
      <c r="J15" s="12" t="n"/>
      <c r="K15" s="12" t="n"/>
      <c r="L15" s="14">
        <f>IF(ISBLANK(C15), "", J15+K15)</f>
        <v/>
      </c>
      <c r="M15" s="12" t="n"/>
      <c r="N15" s="12" t="n"/>
      <c r="O15" s="14">
        <f>IF(ISBLANK(C15), "", M15+N15)</f>
        <v/>
      </c>
      <c r="P15" s="12" t="n"/>
      <c r="Q15" s="12" t="n"/>
      <c r="R15" s="14">
        <f>IF(ISBLANK(C15), "", P15+Q15)</f>
        <v/>
      </c>
      <c r="S15" s="12" t="n"/>
      <c r="T15" s="12" t="n"/>
      <c r="U15" s="14">
        <f>IF(ISBLANK(C15), "", S15+T15)</f>
        <v/>
      </c>
      <c r="V15" s="25">
        <f>IF(ISBLANK(C15), "", F15+I15+L15+O15+R15+U15)</f>
        <v/>
      </c>
      <c r="W15" s="17">
        <f>IF(OR(ISBLANK(C15), V15=""), "", ROUND((V15/600)*100, 1))</f>
        <v/>
      </c>
      <c r="X15" s="14">
        <f>IF(OR(ISBLANK(C15), V15=""), "", IF(AND(F15&gt;=35, I15&gt;=35, L15&gt;=35, O15&gt;=35, R15&gt;=35, U15&gt;=35), "PASS", "FAIL"))</f>
        <v/>
      </c>
      <c r="Y15" s="14">
        <f>IF(OR(ISBLANK(C15), X15=""), "", IF(X15="FAIL", "F", IF(W15&gt;=90, "A+", IF(W15&gt;=80, "A", IF(W15&gt;=70, "B", IF(W15&gt;=50, "C", "D"))))))</f>
        <v/>
      </c>
      <c r="Z15" s="14">
        <f>IF(OR(ISBLANK(C15), V15=""), "", RANK(V15, $V$6:$V$30))</f>
        <v/>
      </c>
    </row>
    <row r="16">
      <c r="A16" s="5" t="inlineStr"/>
      <c r="B16" s="5" t="inlineStr"/>
      <c r="C16" s="6" t="inlineStr"/>
      <c r="D16" s="5" t="n"/>
      <c r="E16" s="5" t="n"/>
      <c r="F16" s="7">
        <f>IF(ISBLANK(C16), "", D16+E16)</f>
        <v/>
      </c>
      <c r="G16" s="5" t="n"/>
      <c r="H16" s="5" t="n"/>
      <c r="I16" s="7">
        <f>IF(ISBLANK(C16), "", G16+H16)</f>
        <v/>
      </c>
      <c r="J16" s="5" t="n"/>
      <c r="K16" s="5" t="n"/>
      <c r="L16" s="7">
        <f>IF(ISBLANK(C16), "", J16+K16)</f>
        <v/>
      </c>
      <c r="M16" s="5" t="n"/>
      <c r="N16" s="5" t="n"/>
      <c r="O16" s="7">
        <f>IF(ISBLANK(C16), "", M16+N16)</f>
        <v/>
      </c>
      <c r="P16" s="5" t="n"/>
      <c r="Q16" s="5" t="n"/>
      <c r="R16" s="7">
        <f>IF(ISBLANK(C16), "", P16+Q16)</f>
        <v/>
      </c>
      <c r="S16" s="5" t="n"/>
      <c r="T16" s="5" t="n"/>
      <c r="U16" s="7">
        <f>IF(ISBLANK(C16), "", S16+T16)</f>
        <v/>
      </c>
      <c r="V16" s="24">
        <f>IF(ISBLANK(C16), "", F16+I16+L16+O16+R16+U16)</f>
        <v/>
      </c>
      <c r="W16" s="10">
        <f>IF(OR(ISBLANK(C16), V16=""), "", ROUND((V16/600)*100, 1))</f>
        <v/>
      </c>
      <c r="X16" s="7">
        <f>IF(OR(ISBLANK(C16), V16=""), "", IF(AND(F16&gt;=35, I16&gt;=35, L16&gt;=35, O16&gt;=35, R16&gt;=35, U16&gt;=35), "PASS", "FAIL"))</f>
        <v/>
      </c>
      <c r="Y16" s="7">
        <f>IF(OR(ISBLANK(C16), X16=""), "", IF(X16="FAIL", "F", IF(W16&gt;=90, "A+", IF(W16&gt;=80, "A", IF(W16&gt;=70, "B", IF(W16&gt;=50, "C", "D"))))))</f>
        <v/>
      </c>
      <c r="Z16" s="7">
        <f>IF(OR(ISBLANK(C16), V16=""), "", RANK(V16, $V$6:$V$30))</f>
        <v/>
      </c>
    </row>
    <row r="17">
      <c r="A17" s="12" t="inlineStr"/>
      <c r="B17" s="12" t="inlineStr"/>
      <c r="C17" s="13" t="inlineStr"/>
      <c r="D17" s="12" t="n"/>
      <c r="E17" s="12" t="n"/>
      <c r="F17" s="14">
        <f>IF(ISBLANK(C17), "", D17+E17)</f>
        <v/>
      </c>
      <c r="G17" s="12" t="n"/>
      <c r="H17" s="12" t="n"/>
      <c r="I17" s="14">
        <f>IF(ISBLANK(C17), "", G17+H17)</f>
        <v/>
      </c>
      <c r="J17" s="12" t="n"/>
      <c r="K17" s="12" t="n"/>
      <c r="L17" s="14">
        <f>IF(ISBLANK(C17), "", J17+K17)</f>
        <v/>
      </c>
      <c r="M17" s="12" t="n"/>
      <c r="N17" s="12" t="n"/>
      <c r="O17" s="14">
        <f>IF(ISBLANK(C17), "", M17+N17)</f>
        <v/>
      </c>
      <c r="P17" s="12" t="n"/>
      <c r="Q17" s="12" t="n"/>
      <c r="R17" s="14">
        <f>IF(ISBLANK(C17), "", P17+Q17)</f>
        <v/>
      </c>
      <c r="S17" s="12" t="n"/>
      <c r="T17" s="12" t="n"/>
      <c r="U17" s="14">
        <f>IF(ISBLANK(C17), "", S17+T17)</f>
        <v/>
      </c>
      <c r="V17" s="25">
        <f>IF(ISBLANK(C17), "", F17+I17+L17+O17+R17+U17)</f>
        <v/>
      </c>
      <c r="W17" s="17">
        <f>IF(OR(ISBLANK(C17), V17=""), "", ROUND((V17/600)*100, 1))</f>
        <v/>
      </c>
      <c r="X17" s="14">
        <f>IF(OR(ISBLANK(C17), V17=""), "", IF(AND(F17&gt;=35, I17&gt;=35, L17&gt;=35, O17&gt;=35, R17&gt;=35, U17&gt;=35), "PASS", "FAIL"))</f>
        <v/>
      </c>
      <c r="Y17" s="14">
        <f>IF(OR(ISBLANK(C17), X17=""), "", IF(X17="FAIL", "F", IF(W17&gt;=90, "A+", IF(W17&gt;=80, "A", IF(W17&gt;=70, "B", IF(W17&gt;=50, "C", "D"))))))</f>
        <v/>
      </c>
      <c r="Z17" s="14">
        <f>IF(OR(ISBLANK(C17), V17=""), "", RANK(V17, $V$6:$V$30))</f>
        <v/>
      </c>
    </row>
    <row r="18">
      <c r="A18" s="5" t="inlineStr"/>
      <c r="B18" s="5" t="inlineStr"/>
      <c r="C18" s="6" t="inlineStr"/>
      <c r="D18" s="5" t="n"/>
      <c r="E18" s="5" t="n"/>
      <c r="F18" s="7">
        <f>IF(ISBLANK(C18), "", D18+E18)</f>
        <v/>
      </c>
      <c r="G18" s="5" t="n"/>
      <c r="H18" s="5" t="n"/>
      <c r="I18" s="7">
        <f>IF(ISBLANK(C18), "", G18+H18)</f>
        <v/>
      </c>
      <c r="J18" s="5" t="n"/>
      <c r="K18" s="5" t="n"/>
      <c r="L18" s="7">
        <f>IF(ISBLANK(C18), "", J18+K18)</f>
        <v/>
      </c>
      <c r="M18" s="5" t="n"/>
      <c r="N18" s="5" t="n"/>
      <c r="O18" s="7">
        <f>IF(ISBLANK(C18), "", M18+N18)</f>
        <v/>
      </c>
      <c r="P18" s="5" t="n"/>
      <c r="Q18" s="5" t="n"/>
      <c r="R18" s="7">
        <f>IF(ISBLANK(C18), "", P18+Q18)</f>
        <v/>
      </c>
      <c r="S18" s="5" t="n"/>
      <c r="T18" s="5" t="n"/>
      <c r="U18" s="7">
        <f>IF(ISBLANK(C18), "", S18+T18)</f>
        <v/>
      </c>
      <c r="V18" s="24">
        <f>IF(ISBLANK(C18), "", F18+I18+L18+O18+R18+U18)</f>
        <v/>
      </c>
      <c r="W18" s="10">
        <f>IF(OR(ISBLANK(C18), V18=""), "", ROUND((V18/600)*100, 1))</f>
        <v/>
      </c>
      <c r="X18" s="7">
        <f>IF(OR(ISBLANK(C18), V18=""), "", IF(AND(F18&gt;=35, I18&gt;=35, L18&gt;=35, O18&gt;=35, R18&gt;=35, U18&gt;=35), "PASS", "FAIL"))</f>
        <v/>
      </c>
      <c r="Y18" s="7">
        <f>IF(OR(ISBLANK(C18), X18=""), "", IF(X18="FAIL", "F", IF(W18&gt;=90, "A+", IF(W18&gt;=80, "A", IF(W18&gt;=70, "B", IF(W18&gt;=50, "C", "D"))))))</f>
        <v/>
      </c>
      <c r="Z18" s="7">
        <f>IF(OR(ISBLANK(C18), V18=""), "", RANK(V18, $V$6:$V$30))</f>
        <v/>
      </c>
    </row>
    <row r="19">
      <c r="A19" s="12" t="inlineStr"/>
      <c r="B19" s="12" t="inlineStr"/>
      <c r="C19" s="13" t="inlineStr"/>
      <c r="D19" s="12" t="n"/>
      <c r="E19" s="12" t="n"/>
      <c r="F19" s="14">
        <f>IF(ISBLANK(C19), "", D19+E19)</f>
        <v/>
      </c>
      <c r="G19" s="12" t="n"/>
      <c r="H19" s="12" t="n"/>
      <c r="I19" s="14">
        <f>IF(ISBLANK(C19), "", G19+H19)</f>
        <v/>
      </c>
      <c r="J19" s="12" t="n"/>
      <c r="K19" s="12" t="n"/>
      <c r="L19" s="14">
        <f>IF(ISBLANK(C19), "", J19+K19)</f>
        <v/>
      </c>
      <c r="M19" s="12" t="n"/>
      <c r="N19" s="12" t="n"/>
      <c r="O19" s="14">
        <f>IF(ISBLANK(C19), "", M19+N19)</f>
        <v/>
      </c>
      <c r="P19" s="12" t="n"/>
      <c r="Q19" s="12" t="n"/>
      <c r="R19" s="14">
        <f>IF(ISBLANK(C19), "", P19+Q19)</f>
        <v/>
      </c>
      <c r="S19" s="12" t="n"/>
      <c r="T19" s="12" t="n"/>
      <c r="U19" s="14">
        <f>IF(ISBLANK(C19), "", S19+T19)</f>
        <v/>
      </c>
      <c r="V19" s="25">
        <f>IF(ISBLANK(C19), "", F19+I19+L19+O19+R19+U19)</f>
        <v/>
      </c>
      <c r="W19" s="17">
        <f>IF(OR(ISBLANK(C19), V19=""), "", ROUND((V19/600)*100, 1))</f>
        <v/>
      </c>
      <c r="X19" s="14">
        <f>IF(OR(ISBLANK(C19), V19=""), "", IF(AND(F19&gt;=35, I19&gt;=35, L19&gt;=35, O19&gt;=35, R19&gt;=35, U19&gt;=35), "PASS", "FAIL"))</f>
        <v/>
      </c>
      <c r="Y19" s="14">
        <f>IF(OR(ISBLANK(C19), X19=""), "", IF(X19="FAIL", "F", IF(W19&gt;=90, "A+", IF(W19&gt;=80, "A", IF(W19&gt;=70, "B", IF(W19&gt;=50, "C", "D"))))))</f>
        <v/>
      </c>
      <c r="Z19" s="14">
        <f>IF(OR(ISBLANK(C19), V19=""), "", RANK(V19, $V$6:$V$30))</f>
        <v/>
      </c>
    </row>
    <row r="20">
      <c r="A20" s="5" t="inlineStr"/>
      <c r="B20" s="5" t="inlineStr"/>
      <c r="C20" s="6" t="inlineStr"/>
      <c r="D20" s="5" t="n"/>
      <c r="E20" s="5" t="n"/>
      <c r="F20" s="7">
        <f>IF(ISBLANK(C20), "", D20+E20)</f>
        <v/>
      </c>
      <c r="G20" s="5" t="n"/>
      <c r="H20" s="5" t="n"/>
      <c r="I20" s="7">
        <f>IF(ISBLANK(C20), "", G20+H20)</f>
        <v/>
      </c>
      <c r="J20" s="5" t="n"/>
      <c r="K20" s="5" t="n"/>
      <c r="L20" s="7">
        <f>IF(ISBLANK(C20), "", J20+K20)</f>
        <v/>
      </c>
      <c r="M20" s="5" t="n"/>
      <c r="N20" s="5" t="n"/>
      <c r="O20" s="7">
        <f>IF(ISBLANK(C20), "", M20+N20)</f>
        <v/>
      </c>
      <c r="P20" s="5" t="n"/>
      <c r="Q20" s="5" t="n"/>
      <c r="R20" s="7">
        <f>IF(ISBLANK(C20), "", P20+Q20)</f>
        <v/>
      </c>
      <c r="S20" s="5" t="n"/>
      <c r="T20" s="5" t="n"/>
      <c r="U20" s="7">
        <f>IF(ISBLANK(C20), "", S20+T20)</f>
        <v/>
      </c>
      <c r="V20" s="24">
        <f>IF(ISBLANK(C20), "", F20+I20+L20+O20+R20+U20)</f>
        <v/>
      </c>
      <c r="W20" s="10">
        <f>IF(OR(ISBLANK(C20), V20=""), "", ROUND((V20/600)*100, 1))</f>
        <v/>
      </c>
      <c r="X20" s="7">
        <f>IF(OR(ISBLANK(C20), V20=""), "", IF(AND(F20&gt;=35, I20&gt;=35, L20&gt;=35, O20&gt;=35, R20&gt;=35, U20&gt;=35), "PASS", "FAIL"))</f>
        <v/>
      </c>
      <c r="Y20" s="7">
        <f>IF(OR(ISBLANK(C20), X20=""), "", IF(X20="FAIL", "F", IF(W20&gt;=90, "A+", IF(W20&gt;=80, "A", IF(W20&gt;=70, "B", IF(W20&gt;=50, "C", "D"))))))</f>
        <v/>
      </c>
      <c r="Z20" s="7">
        <f>IF(OR(ISBLANK(C20), V20=""), "", RANK(V20, $V$6:$V$30))</f>
        <v/>
      </c>
    </row>
    <row r="21">
      <c r="A21" s="12" t="inlineStr"/>
      <c r="B21" s="12" t="inlineStr"/>
      <c r="C21" s="13" t="inlineStr"/>
      <c r="D21" s="12" t="n"/>
      <c r="E21" s="12" t="n"/>
      <c r="F21" s="14">
        <f>IF(ISBLANK(C21), "", D21+E21)</f>
        <v/>
      </c>
      <c r="G21" s="12" t="n"/>
      <c r="H21" s="12" t="n"/>
      <c r="I21" s="14">
        <f>IF(ISBLANK(C21), "", G21+H21)</f>
        <v/>
      </c>
      <c r="J21" s="12" t="n"/>
      <c r="K21" s="12" t="n"/>
      <c r="L21" s="14">
        <f>IF(ISBLANK(C21), "", J21+K21)</f>
        <v/>
      </c>
      <c r="M21" s="12" t="n"/>
      <c r="N21" s="12" t="n"/>
      <c r="O21" s="14">
        <f>IF(ISBLANK(C21), "", M21+N21)</f>
        <v/>
      </c>
      <c r="P21" s="12" t="n"/>
      <c r="Q21" s="12" t="n"/>
      <c r="R21" s="14">
        <f>IF(ISBLANK(C21), "", P21+Q21)</f>
        <v/>
      </c>
      <c r="S21" s="12" t="n"/>
      <c r="T21" s="12" t="n"/>
      <c r="U21" s="14">
        <f>IF(ISBLANK(C21), "", S21+T21)</f>
        <v/>
      </c>
      <c r="V21" s="25">
        <f>IF(ISBLANK(C21), "", F21+I21+L21+O21+R21+U21)</f>
        <v/>
      </c>
      <c r="W21" s="17">
        <f>IF(OR(ISBLANK(C21), V21=""), "", ROUND((V21/600)*100, 1))</f>
        <v/>
      </c>
      <c r="X21" s="14">
        <f>IF(OR(ISBLANK(C21), V21=""), "", IF(AND(F21&gt;=35, I21&gt;=35, L21&gt;=35, O21&gt;=35, R21&gt;=35, U21&gt;=35), "PASS", "FAIL"))</f>
        <v/>
      </c>
      <c r="Y21" s="14">
        <f>IF(OR(ISBLANK(C21), X21=""), "", IF(X21="FAIL", "F", IF(W21&gt;=90, "A+", IF(W21&gt;=80, "A", IF(W21&gt;=70, "B", IF(W21&gt;=50, "C", "D"))))))</f>
        <v/>
      </c>
      <c r="Z21" s="14">
        <f>IF(OR(ISBLANK(C21), V21=""), "", RANK(V21, $V$6:$V$30))</f>
        <v/>
      </c>
    </row>
    <row r="22">
      <c r="A22" s="5" t="inlineStr"/>
      <c r="B22" s="5" t="inlineStr"/>
      <c r="C22" s="6" t="inlineStr"/>
      <c r="D22" s="5" t="n"/>
      <c r="E22" s="5" t="n"/>
      <c r="F22" s="7">
        <f>IF(ISBLANK(C22), "", D22+E22)</f>
        <v/>
      </c>
      <c r="G22" s="5" t="n"/>
      <c r="H22" s="5" t="n"/>
      <c r="I22" s="7">
        <f>IF(ISBLANK(C22), "", G22+H22)</f>
        <v/>
      </c>
      <c r="J22" s="5" t="n"/>
      <c r="K22" s="5" t="n"/>
      <c r="L22" s="7">
        <f>IF(ISBLANK(C22), "", J22+K22)</f>
        <v/>
      </c>
      <c r="M22" s="5" t="n"/>
      <c r="N22" s="5" t="n"/>
      <c r="O22" s="7">
        <f>IF(ISBLANK(C22), "", M22+N22)</f>
        <v/>
      </c>
      <c r="P22" s="5" t="n"/>
      <c r="Q22" s="5" t="n"/>
      <c r="R22" s="7">
        <f>IF(ISBLANK(C22), "", P22+Q22)</f>
        <v/>
      </c>
      <c r="S22" s="5" t="n"/>
      <c r="T22" s="5" t="n"/>
      <c r="U22" s="7">
        <f>IF(ISBLANK(C22), "", S22+T22)</f>
        <v/>
      </c>
      <c r="V22" s="24">
        <f>IF(ISBLANK(C22), "", F22+I22+L22+O22+R22+U22)</f>
        <v/>
      </c>
      <c r="W22" s="10">
        <f>IF(OR(ISBLANK(C22), V22=""), "", ROUND((V22/600)*100, 1))</f>
        <v/>
      </c>
      <c r="X22" s="7">
        <f>IF(OR(ISBLANK(C22), V22=""), "", IF(AND(F22&gt;=35, I22&gt;=35, L22&gt;=35, O22&gt;=35, R22&gt;=35, U22&gt;=35), "PASS", "FAIL"))</f>
        <v/>
      </c>
      <c r="Y22" s="7">
        <f>IF(OR(ISBLANK(C22), X22=""), "", IF(X22="FAIL", "F", IF(W22&gt;=90, "A+", IF(W22&gt;=80, "A", IF(W22&gt;=70, "B", IF(W22&gt;=50, "C", "D"))))))</f>
        <v/>
      </c>
      <c r="Z22" s="7">
        <f>IF(OR(ISBLANK(C22), V22=""), "", RANK(V22, $V$6:$V$30))</f>
        <v/>
      </c>
    </row>
    <row r="23">
      <c r="A23" s="12" t="inlineStr"/>
      <c r="B23" s="12" t="inlineStr"/>
      <c r="C23" s="13" t="inlineStr"/>
      <c r="D23" s="12" t="n"/>
      <c r="E23" s="12" t="n"/>
      <c r="F23" s="14">
        <f>IF(ISBLANK(C23), "", D23+E23)</f>
        <v/>
      </c>
      <c r="G23" s="12" t="n"/>
      <c r="H23" s="12" t="n"/>
      <c r="I23" s="14">
        <f>IF(ISBLANK(C23), "", G23+H23)</f>
        <v/>
      </c>
      <c r="J23" s="12" t="n"/>
      <c r="K23" s="12" t="n"/>
      <c r="L23" s="14">
        <f>IF(ISBLANK(C23), "", J23+K23)</f>
        <v/>
      </c>
      <c r="M23" s="12" t="n"/>
      <c r="N23" s="12" t="n"/>
      <c r="O23" s="14">
        <f>IF(ISBLANK(C23), "", M23+N23)</f>
        <v/>
      </c>
      <c r="P23" s="12" t="n"/>
      <c r="Q23" s="12" t="n"/>
      <c r="R23" s="14">
        <f>IF(ISBLANK(C23), "", P23+Q23)</f>
        <v/>
      </c>
      <c r="S23" s="12" t="n"/>
      <c r="T23" s="12" t="n"/>
      <c r="U23" s="14">
        <f>IF(ISBLANK(C23), "", S23+T23)</f>
        <v/>
      </c>
      <c r="V23" s="25">
        <f>IF(ISBLANK(C23), "", F23+I23+L23+O23+R23+U23)</f>
        <v/>
      </c>
      <c r="W23" s="17">
        <f>IF(OR(ISBLANK(C23), V23=""), "", ROUND((V23/600)*100, 1))</f>
        <v/>
      </c>
      <c r="X23" s="14">
        <f>IF(OR(ISBLANK(C23), V23=""), "", IF(AND(F23&gt;=35, I23&gt;=35, L23&gt;=35, O23&gt;=35, R23&gt;=35, U23&gt;=35), "PASS", "FAIL"))</f>
        <v/>
      </c>
      <c r="Y23" s="14">
        <f>IF(OR(ISBLANK(C23), X23=""), "", IF(X23="FAIL", "F", IF(W23&gt;=90, "A+", IF(W23&gt;=80, "A", IF(W23&gt;=70, "B", IF(W23&gt;=50, "C", "D"))))))</f>
        <v/>
      </c>
      <c r="Z23" s="14">
        <f>IF(OR(ISBLANK(C23), V23=""), "", RANK(V23, $V$6:$V$30))</f>
        <v/>
      </c>
    </row>
    <row r="24">
      <c r="A24" s="5" t="inlineStr"/>
      <c r="B24" s="5" t="inlineStr"/>
      <c r="C24" s="6" t="inlineStr"/>
      <c r="D24" s="5" t="n"/>
      <c r="E24" s="5" t="n"/>
      <c r="F24" s="7">
        <f>IF(ISBLANK(C24), "", D24+E24)</f>
        <v/>
      </c>
      <c r="G24" s="5" t="n"/>
      <c r="H24" s="5" t="n"/>
      <c r="I24" s="7">
        <f>IF(ISBLANK(C24), "", G24+H24)</f>
        <v/>
      </c>
      <c r="J24" s="5" t="n"/>
      <c r="K24" s="5" t="n"/>
      <c r="L24" s="7">
        <f>IF(ISBLANK(C24), "", J24+K24)</f>
        <v/>
      </c>
      <c r="M24" s="5" t="n"/>
      <c r="N24" s="5" t="n"/>
      <c r="O24" s="7">
        <f>IF(ISBLANK(C24), "", M24+N24)</f>
        <v/>
      </c>
      <c r="P24" s="5" t="n"/>
      <c r="Q24" s="5" t="n"/>
      <c r="R24" s="7">
        <f>IF(ISBLANK(C24), "", P24+Q24)</f>
        <v/>
      </c>
      <c r="S24" s="5" t="n"/>
      <c r="T24" s="5" t="n"/>
      <c r="U24" s="7">
        <f>IF(ISBLANK(C24), "", S24+T24)</f>
        <v/>
      </c>
      <c r="V24" s="24">
        <f>IF(ISBLANK(C24), "", F24+I24+L24+O24+R24+U24)</f>
        <v/>
      </c>
      <c r="W24" s="10">
        <f>IF(OR(ISBLANK(C24), V24=""), "", ROUND((V24/600)*100, 1))</f>
        <v/>
      </c>
      <c r="X24" s="7">
        <f>IF(OR(ISBLANK(C24), V24=""), "", IF(AND(F24&gt;=35, I24&gt;=35, L24&gt;=35, O24&gt;=35, R24&gt;=35, U24&gt;=35), "PASS", "FAIL"))</f>
        <v/>
      </c>
      <c r="Y24" s="7">
        <f>IF(OR(ISBLANK(C24), X24=""), "", IF(X24="FAIL", "F", IF(W24&gt;=90, "A+", IF(W24&gt;=80, "A", IF(W24&gt;=70, "B", IF(W24&gt;=50, "C", "D"))))))</f>
        <v/>
      </c>
      <c r="Z24" s="7">
        <f>IF(OR(ISBLANK(C24), V24=""), "", RANK(V24, $V$6:$V$30))</f>
        <v/>
      </c>
    </row>
    <row r="25">
      <c r="A25" s="12" t="inlineStr"/>
      <c r="B25" s="12" t="inlineStr"/>
      <c r="C25" s="13" t="inlineStr"/>
      <c r="D25" s="12" t="n"/>
      <c r="E25" s="12" t="n"/>
      <c r="F25" s="14">
        <f>IF(ISBLANK(C25), "", D25+E25)</f>
        <v/>
      </c>
      <c r="G25" s="12" t="n"/>
      <c r="H25" s="12" t="n"/>
      <c r="I25" s="14">
        <f>IF(ISBLANK(C25), "", G25+H25)</f>
        <v/>
      </c>
      <c r="J25" s="12" t="n"/>
      <c r="K25" s="12" t="n"/>
      <c r="L25" s="14">
        <f>IF(ISBLANK(C25), "", J25+K25)</f>
        <v/>
      </c>
      <c r="M25" s="12" t="n"/>
      <c r="N25" s="12" t="n"/>
      <c r="O25" s="14">
        <f>IF(ISBLANK(C25), "", M25+N25)</f>
        <v/>
      </c>
      <c r="P25" s="12" t="n"/>
      <c r="Q25" s="12" t="n"/>
      <c r="R25" s="14">
        <f>IF(ISBLANK(C25), "", P25+Q25)</f>
        <v/>
      </c>
      <c r="S25" s="12" t="n"/>
      <c r="T25" s="12" t="n"/>
      <c r="U25" s="14">
        <f>IF(ISBLANK(C25), "", S25+T25)</f>
        <v/>
      </c>
      <c r="V25" s="25">
        <f>IF(ISBLANK(C25), "", F25+I25+L25+O25+R25+U25)</f>
        <v/>
      </c>
      <c r="W25" s="17">
        <f>IF(OR(ISBLANK(C25), V25=""), "", ROUND((V25/600)*100, 1))</f>
        <v/>
      </c>
      <c r="X25" s="14">
        <f>IF(OR(ISBLANK(C25), V25=""), "", IF(AND(F25&gt;=35, I25&gt;=35, L25&gt;=35, O25&gt;=35, R25&gt;=35, U25&gt;=35), "PASS", "FAIL"))</f>
        <v/>
      </c>
      <c r="Y25" s="14">
        <f>IF(OR(ISBLANK(C25), X25=""), "", IF(X25="FAIL", "F", IF(W25&gt;=90, "A+", IF(W25&gt;=80, "A", IF(W25&gt;=70, "B", IF(W25&gt;=50, "C", "D"))))))</f>
        <v/>
      </c>
      <c r="Z25" s="14">
        <f>IF(OR(ISBLANK(C25), V25=""), "", RANK(V25, $V$6:$V$30))</f>
        <v/>
      </c>
    </row>
    <row r="26">
      <c r="A26" s="5" t="inlineStr"/>
      <c r="B26" s="5" t="inlineStr"/>
      <c r="C26" s="6" t="inlineStr"/>
      <c r="D26" s="5" t="n"/>
      <c r="E26" s="5" t="n"/>
      <c r="F26" s="7">
        <f>IF(ISBLANK(C26), "", D26+E26)</f>
        <v/>
      </c>
      <c r="G26" s="5" t="n"/>
      <c r="H26" s="5" t="n"/>
      <c r="I26" s="7">
        <f>IF(ISBLANK(C26), "", G26+H26)</f>
        <v/>
      </c>
      <c r="J26" s="5" t="n"/>
      <c r="K26" s="5" t="n"/>
      <c r="L26" s="7">
        <f>IF(ISBLANK(C26), "", J26+K26)</f>
        <v/>
      </c>
      <c r="M26" s="5" t="n"/>
      <c r="N26" s="5" t="n"/>
      <c r="O26" s="7">
        <f>IF(ISBLANK(C26), "", M26+N26)</f>
        <v/>
      </c>
      <c r="P26" s="5" t="n"/>
      <c r="Q26" s="5" t="n"/>
      <c r="R26" s="7">
        <f>IF(ISBLANK(C26), "", P26+Q26)</f>
        <v/>
      </c>
      <c r="S26" s="5" t="n"/>
      <c r="T26" s="5" t="n"/>
      <c r="U26" s="7">
        <f>IF(ISBLANK(C26), "", S26+T26)</f>
        <v/>
      </c>
      <c r="V26" s="24">
        <f>IF(ISBLANK(C26), "", F26+I26+L26+O26+R26+U26)</f>
        <v/>
      </c>
      <c r="W26" s="10">
        <f>IF(OR(ISBLANK(C26), V26=""), "", ROUND((V26/600)*100, 1))</f>
        <v/>
      </c>
      <c r="X26" s="7">
        <f>IF(OR(ISBLANK(C26), V26=""), "", IF(AND(F26&gt;=35, I26&gt;=35, L26&gt;=35, O26&gt;=35, R26&gt;=35, U26&gt;=35), "PASS", "FAIL"))</f>
        <v/>
      </c>
      <c r="Y26" s="7">
        <f>IF(OR(ISBLANK(C26), X26=""), "", IF(X26="FAIL", "F", IF(W26&gt;=90, "A+", IF(W26&gt;=80, "A", IF(W26&gt;=70, "B", IF(W26&gt;=50, "C", "D"))))))</f>
        <v/>
      </c>
      <c r="Z26" s="7">
        <f>IF(OR(ISBLANK(C26), V26=""), "", RANK(V26, $V$6:$V$30))</f>
        <v/>
      </c>
    </row>
    <row r="27">
      <c r="A27" s="12" t="inlineStr"/>
      <c r="B27" s="12" t="inlineStr"/>
      <c r="C27" s="13" t="inlineStr"/>
      <c r="D27" s="12" t="n"/>
      <c r="E27" s="12" t="n"/>
      <c r="F27" s="14">
        <f>IF(ISBLANK(C27), "", D27+E27)</f>
        <v/>
      </c>
      <c r="G27" s="12" t="n"/>
      <c r="H27" s="12" t="n"/>
      <c r="I27" s="14">
        <f>IF(ISBLANK(C27), "", G27+H27)</f>
        <v/>
      </c>
      <c r="J27" s="12" t="n"/>
      <c r="K27" s="12" t="n"/>
      <c r="L27" s="14">
        <f>IF(ISBLANK(C27), "", J27+K27)</f>
        <v/>
      </c>
      <c r="M27" s="12" t="n"/>
      <c r="N27" s="12" t="n"/>
      <c r="O27" s="14">
        <f>IF(ISBLANK(C27), "", M27+N27)</f>
        <v/>
      </c>
      <c r="P27" s="12" t="n"/>
      <c r="Q27" s="12" t="n"/>
      <c r="R27" s="14">
        <f>IF(ISBLANK(C27), "", P27+Q27)</f>
        <v/>
      </c>
      <c r="S27" s="12" t="n"/>
      <c r="T27" s="12" t="n"/>
      <c r="U27" s="14">
        <f>IF(ISBLANK(C27), "", S27+T27)</f>
        <v/>
      </c>
      <c r="V27" s="25">
        <f>IF(ISBLANK(C27), "", F27+I27+L27+O27+R27+U27)</f>
        <v/>
      </c>
      <c r="W27" s="17">
        <f>IF(OR(ISBLANK(C27), V27=""), "", ROUND((V27/600)*100, 1))</f>
        <v/>
      </c>
      <c r="X27" s="14">
        <f>IF(OR(ISBLANK(C27), V27=""), "", IF(AND(F27&gt;=35, I27&gt;=35, L27&gt;=35, O27&gt;=35, R27&gt;=35, U27&gt;=35), "PASS", "FAIL"))</f>
        <v/>
      </c>
      <c r="Y27" s="14">
        <f>IF(OR(ISBLANK(C27), X27=""), "", IF(X27="FAIL", "F", IF(W27&gt;=90, "A+", IF(W27&gt;=80, "A", IF(W27&gt;=70, "B", IF(W27&gt;=50, "C", "D"))))))</f>
        <v/>
      </c>
      <c r="Z27" s="14">
        <f>IF(OR(ISBLANK(C27), V27=""), "", RANK(V27, $V$6:$V$30))</f>
        <v/>
      </c>
    </row>
    <row r="28">
      <c r="A28" s="5" t="inlineStr"/>
      <c r="B28" s="5" t="inlineStr"/>
      <c r="C28" s="6" t="inlineStr"/>
      <c r="D28" s="5" t="n"/>
      <c r="E28" s="5" t="n"/>
      <c r="F28" s="7">
        <f>IF(ISBLANK(C28), "", D28+E28)</f>
        <v/>
      </c>
      <c r="G28" s="5" t="n"/>
      <c r="H28" s="5" t="n"/>
      <c r="I28" s="7">
        <f>IF(ISBLANK(C28), "", G28+H28)</f>
        <v/>
      </c>
      <c r="J28" s="5" t="n"/>
      <c r="K28" s="5" t="n"/>
      <c r="L28" s="7">
        <f>IF(ISBLANK(C28), "", J28+K28)</f>
        <v/>
      </c>
      <c r="M28" s="5" t="n"/>
      <c r="N28" s="5" t="n"/>
      <c r="O28" s="7">
        <f>IF(ISBLANK(C28), "", M28+N28)</f>
        <v/>
      </c>
      <c r="P28" s="5" t="n"/>
      <c r="Q28" s="5" t="n"/>
      <c r="R28" s="7">
        <f>IF(ISBLANK(C28), "", P28+Q28)</f>
        <v/>
      </c>
      <c r="S28" s="5" t="n"/>
      <c r="T28" s="5" t="n"/>
      <c r="U28" s="7">
        <f>IF(ISBLANK(C28), "", S28+T28)</f>
        <v/>
      </c>
      <c r="V28" s="24">
        <f>IF(ISBLANK(C28), "", F28+I28+L28+O28+R28+U28)</f>
        <v/>
      </c>
      <c r="W28" s="10">
        <f>IF(OR(ISBLANK(C28), V28=""), "", ROUND((V28/600)*100, 1))</f>
        <v/>
      </c>
      <c r="X28" s="7">
        <f>IF(OR(ISBLANK(C28), V28=""), "", IF(AND(F28&gt;=35, I28&gt;=35, L28&gt;=35, O28&gt;=35, R28&gt;=35, U28&gt;=35), "PASS", "FAIL"))</f>
        <v/>
      </c>
      <c r="Y28" s="7">
        <f>IF(OR(ISBLANK(C28), X28=""), "", IF(X28="FAIL", "F", IF(W28&gt;=90, "A+", IF(W28&gt;=80, "A", IF(W28&gt;=70, "B", IF(W28&gt;=50, "C", "D"))))))</f>
        <v/>
      </c>
      <c r="Z28" s="7">
        <f>IF(OR(ISBLANK(C28), V28=""), "", RANK(V28, $V$6:$V$30))</f>
        <v/>
      </c>
    </row>
    <row r="29">
      <c r="A29" s="12" t="inlineStr"/>
      <c r="B29" s="12" t="inlineStr"/>
      <c r="C29" s="13" t="inlineStr"/>
      <c r="D29" s="12" t="n"/>
      <c r="E29" s="12" t="n"/>
      <c r="F29" s="14">
        <f>IF(ISBLANK(C29), "", D29+E29)</f>
        <v/>
      </c>
      <c r="G29" s="12" t="n"/>
      <c r="H29" s="12" t="n"/>
      <c r="I29" s="14">
        <f>IF(ISBLANK(C29), "", G29+H29)</f>
        <v/>
      </c>
      <c r="J29" s="12" t="n"/>
      <c r="K29" s="12" t="n"/>
      <c r="L29" s="14">
        <f>IF(ISBLANK(C29), "", J29+K29)</f>
        <v/>
      </c>
      <c r="M29" s="12" t="n"/>
      <c r="N29" s="12" t="n"/>
      <c r="O29" s="14">
        <f>IF(ISBLANK(C29), "", M29+N29)</f>
        <v/>
      </c>
      <c r="P29" s="12" t="n"/>
      <c r="Q29" s="12" t="n"/>
      <c r="R29" s="14">
        <f>IF(ISBLANK(C29), "", P29+Q29)</f>
        <v/>
      </c>
      <c r="S29" s="12" t="n"/>
      <c r="T29" s="12" t="n"/>
      <c r="U29" s="14">
        <f>IF(ISBLANK(C29), "", S29+T29)</f>
        <v/>
      </c>
      <c r="V29" s="25">
        <f>IF(ISBLANK(C29), "", F29+I29+L29+O29+R29+U29)</f>
        <v/>
      </c>
      <c r="W29" s="17">
        <f>IF(OR(ISBLANK(C29), V29=""), "", ROUND((V29/600)*100, 1))</f>
        <v/>
      </c>
      <c r="X29" s="14">
        <f>IF(OR(ISBLANK(C29), V29=""), "", IF(AND(F29&gt;=35, I29&gt;=35, L29&gt;=35, O29&gt;=35, R29&gt;=35, U29&gt;=35), "PASS", "FAIL"))</f>
        <v/>
      </c>
      <c r="Y29" s="14">
        <f>IF(OR(ISBLANK(C29), X29=""), "", IF(X29="FAIL", "F", IF(W29&gt;=90, "A+", IF(W29&gt;=80, "A", IF(W29&gt;=70, "B", IF(W29&gt;=50, "C", "D"))))))</f>
        <v/>
      </c>
      <c r="Z29" s="14">
        <f>IF(OR(ISBLANK(C29), V29=""), "", RANK(V29, $V$6:$V$30))</f>
        <v/>
      </c>
    </row>
    <row r="30">
      <c r="A30" s="5" t="inlineStr"/>
      <c r="B30" s="5" t="inlineStr"/>
      <c r="C30" s="6" t="inlineStr"/>
      <c r="D30" s="5" t="n"/>
      <c r="E30" s="5" t="n"/>
      <c r="F30" s="7">
        <f>IF(ISBLANK(C30), "", D30+E30)</f>
        <v/>
      </c>
      <c r="G30" s="5" t="n"/>
      <c r="H30" s="5" t="n"/>
      <c r="I30" s="7">
        <f>IF(ISBLANK(C30), "", G30+H30)</f>
        <v/>
      </c>
      <c r="J30" s="5" t="n"/>
      <c r="K30" s="5" t="n"/>
      <c r="L30" s="7">
        <f>IF(ISBLANK(C30), "", J30+K30)</f>
        <v/>
      </c>
      <c r="M30" s="5" t="n"/>
      <c r="N30" s="5" t="n"/>
      <c r="O30" s="7">
        <f>IF(ISBLANK(C30), "", M30+N30)</f>
        <v/>
      </c>
      <c r="P30" s="5" t="n"/>
      <c r="Q30" s="5" t="n"/>
      <c r="R30" s="7">
        <f>IF(ISBLANK(C30), "", P30+Q30)</f>
        <v/>
      </c>
      <c r="S30" s="5" t="n"/>
      <c r="T30" s="5" t="n"/>
      <c r="U30" s="7">
        <f>IF(ISBLANK(C30), "", S30+T30)</f>
        <v/>
      </c>
      <c r="V30" s="24">
        <f>IF(ISBLANK(C30), "", F30+I30+L30+O30+R30+U30)</f>
        <v/>
      </c>
      <c r="W30" s="10">
        <f>IF(OR(ISBLANK(C30), V30=""), "", ROUND((V30/600)*100, 1))</f>
        <v/>
      </c>
      <c r="X30" s="7">
        <f>IF(OR(ISBLANK(C30), V30=""), "", IF(AND(F30&gt;=35, I30&gt;=35, L30&gt;=35, O30&gt;=35, R30&gt;=35, U30&gt;=35), "PASS", "FAIL"))</f>
        <v/>
      </c>
      <c r="Y30" s="7">
        <f>IF(OR(ISBLANK(C30), X30=""), "", IF(X30="FAIL", "F", IF(W30&gt;=90, "A+", IF(W30&gt;=80, "A", IF(W30&gt;=70, "B", IF(W30&gt;=50, "C", "D"))))))</f>
        <v/>
      </c>
      <c r="Z30" s="7">
        <f>IF(OR(ISBLANK(C30), V30=""), "", RANK(V30, $V$6:$V$30))</f>
        <v/>
      </c>
    </row>
    <row r="32">
      <c r="A32" t="inlineStr"/>
    </row>
    <row r="33">
      <c r="A33" s="26" t="inlineStr">
        <is>
          <t>CLASS AVERAGE</t>
        </is>
      </c>
      <c r="B33" s="27" t="n"/>
      <c r="C33" s="27" t="n"/>
      <c r="D33" s="28">
        <f>IF(COUNTA(C6:C30)&gt;0, ROUND(AVERAGE(F6:F30), 1), "-")</f>
        <v/>
      </c>
      <c r="E33" s="27" t="n"/>
      <c r="F33" s="27" t="n"/>
      <c r="G33" s="28">
        <f>IF(COUNTA(C6:C30)&gt;0, ROUND(AVERAGE(I6:I30), 1), "-")</f>
        <v/>
      </c>
      <c r="H33" s="27" t="n"/>
      <c r="I33" s="27" t="n"/>
      <c r="J33" s="28">
        <f>IF(COUNTA(C6:C30)&gt;0, ROUND(AVERAGE(L6:L30), 1), "-")</f>
        <v/>
      </c>
      <c r="K33" s="27" t="n"/>
      <c r="L33" s="27" t="n"/>
      <c r="M33" s="28">
        <f>IF(COUNTA(C6:C30)&gt;0, ROUND(AVERAGE(O6:O30), 1), "-")</f>
        <v/>
      </c>
      <c r="N33" s="27" t="n"/>
      <c r="O33" s="27" t="n"/>
      <c r="P33" s="28">
        <f>IF(COUNTA(C6:C30)&gt;0, ROUND(AVERAGE(R6:R30), 1), "-")</f>
        <v/>
      </c>
      <c r="Q33" s="27" t="n"/>
      <c r="R33" s="27" t="n"/>
      <c r="S33" s="28">
        <f>IF(COUNTA(C6:C30)&gt;0, ROUND(AVERAGE(U6:U30), 1), "-")</f>
        <v/>
      </c>
      <c r="T33" s="27" t="n"/>
      <c r="U33" s="27" t="n"/>
      <c r="V33" s="29">
        <f>IF(COUNTA(C6:C30)&gt;0, ROUND(AVERAGE(V6:V30), 1), "-")</f>
        <v/>
      </c>
      <c r="W33" s="30">
        <f>IF(COUNTA(C6:C30)&gt;0, ROUND(AVERAGE(W6:W30), 1), "-")</f>
        <v/>
      </c>
      <c r="X33" s="27" t="n"/>
      <c r="Y33" s="27" t="n"/>
      <c r="Z33" s="27" t="n"/>
    </row>
    <row r="34">
      <c r="A34" s="26" t="inlineStr">
        <is>
          <t>HIGHEST MARKS</t>
        </is>
      </c>
      <c r="B34" s="27" t="n"/>
      <c r="C34" s="27" t="n"/>
      <c r="D34" s="31">
        <f>IF(COUNTA(C6:C30)&gt;0, MAX(F6:F30), "-")</f>
        <v/>
      </c>
      <c r="E34" s="27" t="n"/>
      <c r="F34" s="27" t="n"/>
      <c r="G34" s="31">
        <f>IF(COUNTA(C6:C30)&gt;0, MAX(I6:I30), "-")</f>
        <v/>
      </c>
      <c r="H34" s="27" t="n"/>
      <c r="I34" s="27" t="n"/>
      <c r="J34" s="31">
        <f>IF(COUNTA(C6:C30)&gt;0, MAX(L6:L30), "-")</f>
        <v/>
      </c>
      <c r="K34" s="27" t="n"/>
      <c r="L34" s="27" t="n"/>
      <c r="M34" s="31">
        <f>IF(COUNTA(C6:C30)&gt;0, MAX(O6:O30), "-")</f>
        <v/>
      </c>
      <c r="N34" s="27" t="n"/>
      <c r="O34" s="27" t="n"/>
      <c r="P34" s="31">
        <f>IF(COUNTA(C6:C30)&gt;0, MAX(R6:R30), "-")</f>
        <v/>
      </c>
      <c r="Q34" s="27" t="n"/>
      <c r="R34" s="27" t="n"/>
      <c r="S34" s="31">
        <f>IF(COUNTA(C6:C30)&gt;0, MAX(U6:U30), "-")</f>
        <v/>
      </c>
      <c r="T34" s="27" t="n"/>
      <c r="U34" s="27" t="n"/>
      <c r="V34" s="32">
        <f>IF(COUNTA(C6:C30)&gt;0, MAX(V6:V30), "-")</f>
        <v/>
      </c>
      <c r="W34" s="30">
        <f>IF(COUNTA(C6:C30)&gt;0, MAX(W6:W30), "-")</f>
        <v/>
      </c>
      <c r="X34" s="27" t="n"/>
      <c r="Y34" s="27" t="n"/>
      <c r="Z34" s="27" t="n"/>
    </row>
    <row r="35">
      <c r="A35" s="26" t="inlineStr">
        <is>
          <t>LOWEST MARKS</t>
        </is>
      </c>
      <c r="B35" s="27" t="n"/>
      <c r="C35" s="27" t="n"/>
      <c r="D35" s="31">
        <f>IF(COUNTA(C6:C30)&gt;0, MIN(F6:F30), "-")</f>
        <v/>
      </c>
      <c r="E35" s="27" t="n"/>
      <c r="F35" s="27" t="n"/>
      <c r="G35" s="31">
        <f>IF(COUNTA(C6:C30)&gt;0, MIN(I6:I30), "-")</f>
        <v/>
      </c>
      <c r="H35" s="27" t="n"/>
      <c r="I35" s="27" t="n"/>
      <c r="J35" s="31">
        <f>IF(COUNTA(C6:C30)&gt;0, MIN(L6:L30), "-")</f>
        <v/>
      </c>
      <c r="K35" s="27" t="n"/>
      <c r="L35" s="27" t="n"/>
      <c r="M35" s="31">
        <f>IF(COUNTA(C6:C30)&gt;0, MIN(O6:O30), "-")</f>
        <v/>
      </c>
      <c r="N35" s="27" t="n"/>
      <c r="O35" s="27" t="n"/>
      <c r="P35" s="31">
        <f>IF(COUNTA(C6:C30)&gt;0, MIN(R6:R30), "-")</f>
        <v/>
      </c>
      <c r="Q35" s="27" t="n"/>
      <c r="R35" s="27" t="n"/>
      <c r="S35" s="31">
        <f>IF(COUNTA(C6:C30)&gt;0, MIN(U6:U30), "-")</f>
        <v/>
      </c>
      <c r="T35" s="27" t="n"/>
      <c r="U35" s="27" t="n"/>
      <c r="V35" s="32">
        <f>IF(COUNTA(C6:C30)&gt;0, MIN(V6:V30), "-")</f>
        <v/>
      </c>
      <c r="W35" s="30">
        <f>IF(COUNTA(C6:C30)&gt;0, MIN(W6:W30), "-")</f>
        <v/>
      </c>
      <c r="X35" s="27" t="n"/>
      <c r="Y35" s="27" t="n"/>
      <c r="Z35" s="27" t="n"/>
    </row>
    <row r="36">
      <c r="A36" s="26" t="inlineStr">
        <is>
          <t>TOTAL PASSED</t>
        </is>
      </c>
      <c r="B36" s="27" t="n"/>
      <c r="C36" s="27" t="n"/>
      <c r="D36" s="31">
        <f>COUNTIF(F6:F30, "&gt;=35")</f>
        <v/>
      </c>
      <c r="E36" s="27" t="n"/>
      <c r="F36" s="27" t="n"/>
      <c r="G36" s="31">
        <f>COUNTIF(I6:I30, "&gt;=35")</f>
        <v/>
      </c>
      <c r="H36" s="27" t="n"/>
      <c r="I36" s="27" t="n"/>
      <c r="J36" s="31">
        <f>COUNTIF(L6:L30, "&gt;=35")</f>
        <v/>
      </c>
      <c r="K36" s="27" t="n"/>
      <c r="L36" s="27" t="n"/>
      <c r="M36" s="31">
        <f>COUNTIF(O6:O30, "&gt;=35")</f>
        <v/>
      </c>
      <c r="N36" s="27" t="n"/>
      <c r="O36" s="27" t="n"/>
      <c r="P36" s="31">
        <f>COUNTIF(R6:R30, "&gt;=35")</f>
        <v/>
      </c>
      <c r="Q36" s="27" t="n"/>
      <c r="R36" s="27" t="n"/>
      <c r="S36" s="31">
        <f>COUNTIF(U6:U30, "&gt;=35")</f>
        <v/>
      </c>
      <c r="T36" s="27" t="n"/>
      <c r="U36" s="27" t="n"/>
      <c r="V36" s="32">
        <f>COUNTIF(X6:X30, "PASS")</f>
        <v/>
      </c>
      <c r="W36" s="31" t="n"/>
      <c r="X36" s="27" t="n"/>
      <c r="Y36" s="27" t="n"/>
      <c r="Z36" s="27" t="n"/>
    </row>
    <row r="37">
      <c r="A37" s="26" t="inlineStr">
        <is>
          <t>PASS PERCENTAGE (%)</t>
        </is>
      </c>
      <c r="B37" s="27" t="n"/>
      <c r="C37" s="27" t="n"/>
      <c r="D37" s="30">
        <f>IF(COUNTA(C6:C30)&gt;0, ROUND((D36/COUNTA(C6:C30))*100, 1), "-")</f>
        <v/>
      </c>
      <c r="E37" s="27" t="n"/>
      <c r="F37" s="27" t="n"/>
      <c r="G37" s="30">
        <f>IF(COUNTA(C6:C30)&gt;0, ROUND((G36/COUNTA(C6:C30))*100, 1), "-")</f>
        <v/>
      </c>
      <c r="H37" s="27" t="n"/>
      <c r="I37" s="27" t="n"/>
      <c r="J37" s="30">
        <f>IF(COUNTA(C6:C30)&gt;0, ROUND((J36/COUNTA(C6:C30))*100, 1), "-")</f>
        <v/>
      </c>
      <c r="K37" s="27" t="n"/>
      <c r="L37" s="27" t="n"/>
      <c r="M37" s="30">
        <f>IF(COUNTA(C6:C30)&gt;0, ROUND((M36/COUNTA(C6:C30))*100, 1), "-")</f>
        <v/>
      </c>
      <c r="N37" s="27" t="n"/>
      <c r="O37" s="27" t="n"/>
      <c r="P37" s="30">
        <f>IF(COUNTA(C6:C30)&gt;0, ROUND((P36/COUNTA(C6:C30))*100, 1), "-")</f>
        <v/>
      </c>
      <c r="Q37" s="27" t="n"/>
      <c r="R37" s="27" t="n"/>
      <c r="S37" s="30">
        <f>IF(COUNTA(C6:C30)&gt;0, ROUND((S36/COUNTA(C6:C30))*100, 1), "-")</f>
        <v/>
      </c>
      <c r="T37" s="27" t="n"/>
      <c r="U37" s="27" t="n"/>
      <c r="V37" s="33">
        <f>IF(COUNTA(C6:C30)&gt;0, ROUND((V36/COUNTA(C6:C30))*100, 1), "-")</f>
        <v/>
      </c>
      <c r="W37" s="31" t="n"/>
      <c r="X37" s="27" t="n"/>
      <c r="Y37" s="27" t="n"/>
      <c r="Z37" s="27" t="n"/>
    </row>
  </sheetData>
  <mergeCells count="51">
    <mergeCell ref="C4:C5"/>
    <mergeCell ref="A37:C37"/>
    <mergeCell ref="J36:L36"/>
    <mergeCell ref="V4:V5"/>
    <mergeCell ref="P36:R36"/>
    <mergeCell ref="G37:I37"/>
    <mergeCell ref="S37:U37"/>
    <mergeCell ref="J35:L35"/>
    <mergeCell ref="J4:L4"/>
    <mergeCell ref="G34:I34"/>
    <mergeCell ref="G33:I33"/>
    <mergeCell ref="S34:U34"/>
    <mergeCell ref="A33:C33"/>
    <mergeCell ref="M37:O37"/>
    <mergeCell ref="M33:O33"/>
    <mergeCell ref="S33:U33"/>
    <mergeCell ref="A1:Z1"/>
    <mergeCell ref="D37:F37"/>
    <mergeCell ref="M36:O36"/>
    <mergeCell ref="D4:F4"/>
    <mergeCell ref="P37:R37"/>
    <mergeCell ref="G35:I35"/>
    <mergeCell ref="G4:I4"/>
    <mergeCell ref="S36:U36"/>
    <mergeCell ref="A35:C35"/>
    <mergeCell ref="M35:O35"/>
    <mergeCell ref="D33:F33"/>
    <mergeCell ref="S35:U35"/>
    <mergeCell ref="J33:L33"/>
    <mergeCell ref="P33:R33"/>
    <mergeCell ref="A4:A5"/>
    <mergeCell ref="X4:X5"/>
    <mergeCell ref="M4:O4"/>
    <mergeCell ref="S4:U4"/>
    <mergeCell ref="Z4:Z5"/>
    <mergeCell ref="D35:F35"/>
    <mergeCell ref="A2:Z2"/>
    <mergeCell ref="A34:C34"/>
    <mergeCell ref="M34:O34"/>
    <mergeCell ref="P4:R4"/>
    <mergeCell ref="P35:R35"/>
    <mergeCell ref="D34:F34"/>
    <mergeCell ref="A36:C36"/>
    <mergeCell ref="G36:I36"/>
    <mergeCell ref="B4:B5"/>
    <mergeCell ref="W4:W5"/>
    <mergeCell ref="J37:L37"/>
    <mergeCell ref="Y4:Y5"/>
    <mergeCell ref="D36:F36"/>
    <mergeCell ref="J34:L34"/>
    <mergeCell ref="P34:R34"/>
  </mergeCells>
  <conditionalFormatting sqref="X6:X30">
    <cfRule type="cellIs" priority="1" operator="equal" dxfId="0">
      <formula>"PASS"</formula>
    </cfRule>
    <cfRule type="cellIs" priority="2" operator="equal" dxfId="1">
      <formula>"FAIL"</formula>
    </cfRule>
  </conditionalFormatting>
  <conditionalFormatting sqref="Y6:Y30">
    <cfRule type="cellIs" priority="3" operator="equal" dxfId="2">
      <formula>"A+"</formula>
    </cfRule>
  </conditionalFormatting>
  <dataValidations count="2">
    <dataValidation sqref="D6:D30 G6:G30 J6:J30 M6:M30 P6:P30 S6:S30" showDropDown="0" showInputMessage="0" showErrorMessage="0" allowBlank="1" type="whole" operator="between">
      <formula1>0</formula1>
      <formula2>80</formula2>
    </dataValidation>
    <dataValidation sqref="E6:E30 H6:H30 K6:K30 N6:N30 Q6:Q30 T6:T30" showDropDown="0" showInputMessage="0" showErrorMessage="0" allowBlank="1" type="whole" operator="between">
      <formula1>0</formula1>
      <formula2>20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2026-10-21T06:28:59Z</dcterms:created>
  <dcterms:modified xmlns:dcterms="http://purl.org/dc/terms/" xmlns:xsi="http://www.w3.org/2001/XMLSchema-instance" xsi:type="dcterms:W3CDTF">2026-10-21T06:28:59Z</dcterms:modified>
</cp:coreProperties>
</file>