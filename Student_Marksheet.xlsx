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2-B" sheetId="2" state="visible" r:id="rId2"/>
    <sheet xmlns:r="http://schemas.openxmlformats.org/officeDocument/2006/relationships" name="8-A" sheetId="3" state="visible" r:id="rId3"/>
    <sheet xmlns:r="http://schemas.openxmlformats.org/officeDocument/2006/relationships" name="8-B" sheetId="4" state="visible" r:id="rId4"/>
    <sheet xmlns:r="http://schemas.openxmlformats.org/officeDocument/2006/relationships" name="8-C" sheetId="5" state="visible" r:id="rId5"/>
    <sheet xmlns:r="http://schemas.openxmlformats.org/officeDocument/2006/relationships" name="Grade 11" sheetId="6" state="visible" r:id="rId6"/>
    <sheet xmlns:r="http://schemas.openxmlformats.org/officeDocument/2006/relationships" name="Blank Template" sheetId="7" state="visible" r:id="rId7"/>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1">
    <font>
      <name val="Calibri"/>
      <family val="2"/>
      <color theme="1"/>
      <sz val="11"/>
      <scheme val="minor"/>
    </font>
    <font>
      <name val="Calibri"/>
      <b val="1"/>
      <color rgb="00FFFFFF"/>
      <sz val="15"/>
    </font>
    <font>
      <name val="Calibri"/>
      <b val="1"/>
      <color rgb="00FFFFFF"/>
      <sz val="10"/>
    </font>
    <font>
      <name val="Calibri"/>
      <b val="1"/>
      <color rgb="001F2937"/>
      <sz val="9"/>
    </font>
    <font>
      <name val="Calibri"/>
      <b val="1"/>
      <color rgb="001E3A8A"/>
      <sz val="9"/>
    </font>
    <font>
      <name val="Calibri"/>
      <b val="1"/>
      <sz val="10"/>
    </font>
    <font>
      <name val="Calibri"/>
      <b val="1"/>
      <color rgb="001E3A8A"/>
      <sz val="10"/>
    </font>
    <font>
      <name val="Calibri"/>
      <b val="1"/>
      <sz val="9"/>
    </font>
    <font>
      <name val="Calibri"/>
      <b val="1"/>
      <color rgb="001E3A8A"/>
      <sz val="11"/>
    </font>
    <font>
      <name val="Calibri"/>
      <b val="1"/>
      <color rgb="00166534"/>
      <sz val="10"/>
    </font>
    <font>
      <name val="Calibri"/>
      <b val="1"/>
      <color rgb="00991B1B"/>
      <sz val="10"/>
    </font>
  </fonts>
  <fills count="9">
    <fill>
      <patternFill/>
    </fill>
    <fill>
      <patternFill patternType="gray125"/>
    </fill>
    <fill>
      <patternFill patternType="solid">
        <fgColor rgb="001E3A8A"/>
        <bgColor rgb="001E3A8A"/>
      </patternFill>
    </fill>
    <fill>
      <patternFill patternType="solid">
        <fgColor rgb="003B82F6"/>
        <bgColor rgb="003B82F6"/>
      </patternFill>
    </fill>
    <fill>
      <patternFill patternType="solid">
        <fgColor rgb="00F3F4F6"/>
      </patternFill>
    </fill>
    <fill>
      <patternFill patternType="solid">
        <fgColor rgb="00DBEAFE"/>
      </patternFill>
    </fill>
    <fill>
      <patternFill patternType="solid">
        <fgColor rgb="00F8FAFC"/>
      </patternFill>
    </fill>
    <fill>
      <patternFill patternType="solid">
        <fgColor rgb="00E0F2FE"/>
      </patternFill>
    </fill>
    <fill>
      <patternFill patternType="solid">
        <fgColor rgb="000F766E"/>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8" fillId="0" borderId="0" pivotButton="0" quotePrefix="0" xfId="0"/>
    <xf numFmtId="0" fontId="2" fillId="8"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5"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164" fontId="5" fillId="0" borderId="1" applyAlignment="1" pivotButton="0" quotePrefix="0" xfId="0">
      <alignment horizontal="center" vertical="center"/>
    </xf>
    <xf numFmtId="164" fontId="6" fillId="0" borderId="1" applyAlignment="1" pivotButton="0" quotePrefix="0" xfId="0">
      <alignment horizontal="center" vertical="center"/>
    </xf>
    <xf numFmtId="0" fontId="0" fillId="6" borderId="1" applyAlignment="1" pivotButton="0" quotePrefix="0" xfId="0">
      <alignment horizontal="center" vertical="center"/>
    </xf>
    <xf numFmtId="0" fontId="0" fillId="6" borderId="1" applyAlignment="1" pivotButton="0" quotePrefix="0" xfId="0">
      <alignment horizontal="left" vertical="center"/>
    </xf>
    <xf numFmtId="0" fontId="5" fillId="6" borderId="1" applyAlignment="1" pivotButton="0" quotePrefix="0" xfId="0">
      <alignment horizontal="center" vertical="center"/>
    </xf>
    <xf numFmtId="0" fontId="9" fillId="6" borderId="1" applyAlignment="1" pivotButton="0" quotePrefix="0" xfId="0">
      <alignment horizontal="center" vertical="center"/>
    </xf>
    <xf numFmtId="0" fontId="10" fillId="6" borderId="1" applyAlignment="1" pivotButton="0" quotePrefix="0" xfId="0">
      <alignment horizontal="center" vertical="center"/>
    </xf>
    <xf numFmtId="164" fontId="5" fillId="6" borderId="1" applyAlignment="1" pivotButton="0" quotePrefix="0" xfId="0">
      <alignment horizontal="center" vertical="center"/>
    </xf>
    <xf numFmtId="164" fontId="6" fillId="6" borderId="1"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6" fillId="0" borderId="1" applyAlignment="1" pivotButton="0" quotePrefix="0" xfId="0">
      <alignment horizontal="center" vertical="center"/>
    </xf>
    <xf numFmtId="0" fontId="6" fillId="6" borderId="1" applyAlignment="1" pivotButton="0" quotePrefix="0" xfId="0">
      <alignment horizontal="center" vertical="center"/>
    </xf>
    <xf numFmtId="0" fontId="3" fillId="7" borderId="2" applyAlignment="1" pivotButton="0" quotePrefix="0" xfId="0">
      <alignment horizontal="right" vertical="center"/>
    </xf>
    <xf numFmtId="0" fontId="0" fillId="0" borderId="2" pivotButton="0" quotePrefix="0" xfId="0"/>
    <xf numFmtId="165" fontId="7" fillId="7" borderId="2" applyAlignment="1" pivotButton="0" quotePrefix="0" xfId="0">
      <alignment horizontal="center" vertical="center"/>
    </xf>
    <xf numFmtId="165" fontId="4" fillId="7" borderId="2" applyAlignment="1" pivotButton="0" quotePrefix="0" xfId="0">
      <alignment horizontal="center" vertical="center"/>
    </xf>
    <xf numFmtId="164" fontId="7" fillId="7" borderId="2" applyAlignment="1" pivotButton="0" quotePrefix="0" xfId="0">
      <alignment horizontal="center" vertical="center"/>
    </xf>
    <xf numFmtId="0" fontId="7" fillId="7" borderId="2" applyAlignment="1" pivotButton="0" quotePrefix="0" xfId="0">
      <alignment horizontal="center" vertical="center"/>
    </xf>
    <xf numFmtId="0" fontId="4" fillId="7" borderId="2" applyAlignment="1" pivotButton="0" quotePrefix="0" xfId="0">
      <alignment horizontal="center" vertical="center"/>
    </xf>
    <xf numFmtId="164" fontId="4" fillId="7" borderId="2" applyAlignment="1" pivotButton="0" quotePrefix="0" xfId="0">
      <alignment horizontal="center" vertical="center"/>
    </xf>
  </cellXfs>
  <cellStyles count="1">
    <cellStyle name="Normal" xfId="0" builtinId="0" hidden="0"/>
  </cellStyles>
  <dxfs count="3">
    <dxf>
      <font>
        <b val="1"/>
        <color rgb="00166534"/>
      </font>
      <fill>
        <patternFill patternType="solid">
          <fgColor rgb="00DCFCE7"/>
        </patternFill>
      </fill>
    </dxf>
    <dxf>
      <font>
        <b val="1"/>
        <color rgb="00991B1B"/>
      </font>
      <fill>
        <patternFill patternType="solid">
          <fgColor rgb="00FEE2E2"/>
        </patternFill>
      </fill>
    </dxf>
    <dxf>
      <font>
        <b val="1"/>
        <color rgb="0092400E"/>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showGridLines="1" workbookViewId="0">
      <selection activeCell="A1" sqref="A1"/>
    </sheetView>
  </sheetViews>
  <sheetFormatPr baseColWidth="8" defaultRowHeight="15"/>
  <cols>
    <col width="7" customWidth="1" min="1" max="1"/>
    <col width="22" customWidth="1" min="2" max="2"/>
    <col width="16" customWidth="1" min="3" max="3"/>
    <col width="13" customWidth="1" min="4" max="4"/>
    <col width="13" customWidth="1" min="5" max="5"/>
    <col width="18" customWidth="1" min="6" max="6"/>
    <col width="20" customWidth="1" min="7" max="7"/>
  </cols>
  <sheetData>
    <row r="1" ht="36" customHeight="1">
      <c r="A1" s="1" t="inlineStr">
        <is>
          <t>EVAL AI (ADEM) — INSTITUTION MARK SHEET OVERVIEW</t>
        </is>
      </c>
    </row>
    <row r="2" ht="22" customHeight="1">
      <c r="A2" s="2" t="inlineStr">
        <is>
          <t>Academic Year: 2025–2026  |  Total Classes: 5  |  Total Subjects: 3  |  Auto-Consolidated Dashboard</t>
        </is>
      </c>
    </row>
    <row r="4">
      <c r="A4" s="3" t="inlineStr">
        <is>
          <t>CLASS-WISE CONSOLIDATED PERFORMANCE SUMMARY</t>
        </is>
      </c>
    </row>
    <row r="5" ht="24" customHeight="1">
      <c r="A5" s="4" t="inlineStr">
        <is>
          <t>S.No</t>
        </is>
      </c>
      <c r="B5" s="4" t="inlineStr">
        <is>
          <t>Class / Section</t>
        </is>
      </c>
      <c r="C5" s="4" t="inlineStr">
        <is>
          <t>Total Enrolled</t>
        </is>
      </c>
      <c r="D5" s="4" t="inlineStr">
        <is>
          <t>Passed</t>
        </is>
      </c>
      <c r="E5" s="4" t="inlineStr">
        <is>
          <t>Failed</t>
        </is>
      </c>
      <c r="F5" s="4" t="inlineStr">
        <is>
          <t>Pass Percentage</t>
        </is>
      </c>
      <c r="G5" s="4" t="inlineStr">
        <is>
          <t>Class Average (%)</t>
        </is>
      </c>
    </row>
    <row r="6">
      <c r="A6" s="5" t="n">
        <v>1</v>
      </c>
      <c r="B6" s="6" t="inlineStr">
        <is>
          <t>12-B</t>
        </is>
      </c>
      <c r="C6" s="7">
        <f>COUNTA('12-B'!C6:C20)</f>
        <v/>
      </c>
      <c r="D6" s="8">
        <f>COUNTIF('12-B'!O6:O20, "PASS")</f>
        <v/>
      </c>
      <c r="E6" s="9">
        <f>COUNTIF('12-B'!O6:O20, "FAIL")</f>
        <v/>
      </c>
      <c r="F6" s="10">
        <f>IF(C6&gt;0, ROUND((D6/C6)*100, 1), 0)</f>
        <v/>
      </c>
      <c r="G6" s="11">
        <f>IF(C6&gt;0, ROUND(AVERAGE('12-B'!N6:N20), 1), 0)</f>
        <v/>
      </c>
    </row>
    <row r="7">
      <c r="A7" s="12" t="n">
        <v>2</v>
      </c>
      <c r="B7" s="13" t="inlineStr">
        <is>
          <t>8-A</t>
        </is>
      </c>
      <c r="C7" s="14">
        <f>COUNTA('8-A'!C6:C20)</f>
        <v/>
      </c>
      <c r="D7" s="15">
        <f>COUNTIF('8-A'!O6:O20, "PASS")</f>
        <v/>
      </c>
      <c r="E7" s="16">
        <f>COUNTIF('8-A'!O6:O20, "FAIL")</f>
        <v/>
      </c>
      <c r="F7" s="17">
        <f>IF(C7&gt;0, ROUND((D7/C7)*100, 1), 0)</f>
        <v/>
      </c>
      <c r="G7" s="18">
        <f>IF(C7&gt;0, ROUND(AVERAGE('8-A'!N6:N20), 1), 0)</f>
        <v/>
      </c>
    </row>
    <row r="8">
      <c r="A8" s="5" t="n">
        <v>3</v>
      </c>
      <c r="B8" s="6" t="inlineStr">
        <is>
          <t>8-B</t>
        </is>
      </c>
      <c r="C8" s="7">
        <f>COUNTA('8-B'!C6:C20)</f>
        <v/>
      </c>
      <c r="D8" s="8">
        <f>COUNTIF('8-B'!O6:O20, "PASS")</f>
        <v/>
      </c>
      <c r="E8" s="9">
        <f>COUNTIF('8-B'!O6:O20, "FAIL")</f>
        <v/>
      </c>
      <c r="F8" s="10">
        <f>IF(C8&gt;0, ROUND((D8/C8)*100, 1), 0)</f>
        <v/>
      </c>
      <c r="G8" s="11">
        <f>IF(C8&gt;0, ROUND(AVERAGE('8-B'!N6:N20), 1), 0)</f>
        <v/>
      </c>
    </row>
    <row r="9">
      <c r="A9" s="12" t="n">
        <v>4</v>
      </c>
      <c r="B9" s="13" t="inlineStr">
        <is>
          <t>8-C</t>
        </is>
      </c>
      <c r="C9" s="14">
        <f>COUNTA('8-C'!C6:C20)</f>
        <v/>
      </c>
      <c r="D9" s="15">
        <f>COUNTIF('8-C'!O6:O20, "PASS")</f>
        <v/>
      </c>
      <c r="E9" s="16">
        <f>COUNTIF('8-C'!O6:O20, "FAIL")</f>
        <v/>
      </c>
      <c r="F9" s="17">
        <f>IF(C9&gt;0, ROUND((D9/C9)*100, 1), 0)</f>
        <v/>
      </c>
      <c r="G9" s="18">
        <f>IF(C9&gt;0, ROUND(AVERAGE('8-C'!N6:N20), 1), 0)</f>
        <v/>
      </c>
    </row>
    <row r="10">
      <c r="A10" s="5" t="n">
        <v>5</v>
      </c>
      <c r="B10" s="6" t="inlineStr">
        <is>
          <t>Grade 11</t>
        </is>
      </c>
      <c r="C10" s="7">
        <f>COUNTA('Grade 11'!C6:C20)</f>
        <v/>
      </c>
      <c r="D10" s="8">
        <f>COUNTIF('Grade 11'!O6:O20, "PASS")</f>
        <v/>
      </c>
      <c r="E10" s="9">
        <f>COUNTIF('Grade 11'!O6:O20, "FAIL")</f>
        <v/>
      </c>
      <c r="F10" s="10">
        <f>IF(C10&gt;0, ROUND((D10/C10)*100, 1), 0)</f>
        <v/>
      </c>
      <c r="G10" s="11">
        <f>IF(C10&gt;0, ROUND(AVERAGE('Grade 11'!N6:N20), 1), 0)</f>
        <v/>
      </c>
    </row>
  </sheetData>
  <mergeCells count="2">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12-B EXAMINATION MARK SHEET</t>
        </is>
      </c>
    </row>
    <row r="2" ht="22" customHeight="1">
      <c r="A2" s="2" t="inlineStr">
        <is>
          <t>Academic Year: 2025–2026  |  Class: 12-B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n">
        <v>1</v>
      </c>
      <c r="B6" s="5" t="inlineStr">
        <is>
          <t>01</t>
        </is>
      </c>
      <c r="C6" s="6" t="inlineStr">
        <is>
          <t>lk</t>
        </is>
      </c>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$M$6:$M$20))</f>
        <v/>
      </c>
    </row>
    <row r="7">
      <c r="A7" s="12" t="n">
        <v>2</v>
      </c>
      <c r="B7" s="12" t="inlineStr">
        <is>
          <t>103</t>
        </is>
      </c>
      <c r="C7" s="13" t="inlineStr">
        <is>
          <t>Gopinath</t>
        </is>
      </c>
      <c r="D7" s="12" t="n"/>
      <c r="E7" s="12" t="n"/>
      <c r="F7" s="14">
        <f>IF(ISBLANK(C7), "", D7+E7)</f>
        <v/>
      </c>
      <c r="G7" s="12" t="n">
        <v>10</v>
      </c>
      <c r="H7" s="12" t="n">
        <v>2</v>
      </c>
      <c r="I7" s="14">
        <f>IF(ISBLANK(C7), "", G7+H7)</f>
        <v/>
      </c>
      <c r="J7" s="12" t="n"/>
      <c r="K7" s="12" t="n"/>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$M$6:$M$20))</f>
        <v/>
      </c>
    </row>
    <row r="8">
      <c r="A8" s="5" t="n">
        <v>3</v>
      </c>
      <c r="B8" s="5" t="inlineStr">
        <is>
          <t>20</t>
        </is>
      </c>
      <c r="C8" s="6" t="inlineStr">
        <is>
          <t>ll</t>
        </is>
      </c>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$M$6:$M$20))</f>
        <v/>
      </c>
    </row>
    <row r="9">
      <c r="A9" s="12" t="n">
        <v>4</v>
      </c>
      <c r="B9" s="12" t="inlineStr">
        <is>
          <t>201</t>
        </is>
      </c>
      <c r="C9" s="13" t="inlineStr">
        <is>
          <t>ee</t>
        </is>
      </c>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$M$6:$M$20))</f>
        <v/>
      </c>
    </row>
    <row r="10">
      <c r="A10" s="5" t="n">
        <v>5</v>
      </c>
      <c r="B10" s="5" t="inlineStr">
        <is>
          <t>21</t>
        </is>
      </c>
      <c r="C10" s="6" t="inlineStr">
        <is>
          <t>dff</t>
        </is>
      </c>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$M$6:$M$20))</f>
        <v/>
      </c>
    </row>
    <row r="11">
      <c r="A11" s="12" t="n">
        <v>6</v>
      </c>
      <c r="B11" s="12" t="inlineStr">
        <is>
          <t>22</t>
        </is>
      </c>
      <c r="C11" s="13" t="inlineStr">
        <is>
          <t>dd</t>
        </is>
      </c>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$M$6:$M$20))</f>
        <v/>
      </c>
    </row>
    <row r="12">
      <c r="A12" s="5" t="n">
        <v>7</v>
      </c>
      <c r="B12" s="5" t="inlineStr">
        <is>
          <t>60</t>
        </is>
      </c>
      <c r="C12" s="6" t="inlineStr">
        <is>
          <t>hh</t>
        </is>
      </c>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9">
        <f>IF(COUNTA(C6:C20)&gt;0, ROUND(AVERAGE(M6:M20), 1), "-")</f>
        <v/>
      </c>
      <c r="N23" s="30">
        <f>IF(COUNTA(C6:C20)&gt;0, ROUND(AVERAGE(N6:N20), 1), "-")</f>
        <v/>
      </c>
      <c r="O23" s="27" t="n"/>
      <c r="P23" s="27" t="n"/>
      <c r="Q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2">
        <f>IF(COUNTA(C6:C20)&gt;0, MAX(M6:M20), "-")</f>
        <v/>
      </c>
      <c r="N24" s="30">
        <f>IF(COUNTA(C6:C20)&gt;0, MAX(N6:N20), "-")</f>
        <v/>
      </c>
      <c r="O24" s="27" t="n"/>
      <c r="P24" s="27" t="n"/>
      <c r="Q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2">
        <f>IF(COUNTA(C6:C20)&gt;0, MIN(M6:M20), "-")</f>
        <v/>
      </c>
      <c r="N25" s="30">
        <f>IF(COUNTA(C6:C20)&gt;0, MIN(N6:N20), "-")</f>
        <v/>
      </c>
      <c r="O25" s="27" t="n"/>
      <c r="P25" s="27" t="n"/>
      <c r="Q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2">
        <f>COUNTIF(O6:O20, "PASS")</f>
        <v/>
      </c>
      <c r="N26" s="31" t="n"/>
      <c r="O26" s="27" t="n"/>
      <c r="P26" s="27" t="n"/>
      <c r="Q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3">
        <f>IF(COUNTA(C6:C20)&gt;0, ROUND((M26/COUNTA(C6:C20))*100, 1), "-")</f>
        <v/>
      </c>
      <c r="N27" s="31" t="n"/>
      <c r="O27" s="27" t="n"/>
      <c r="P27" s="27" t="n"/>
      <c r="Q27" s="27" t="n"/>
    </row>
  </sheetData>
  <mergeCells count="33">
    <mergeCell ref="A25:C25"/>
    <mergeCell ref="J24:L24"/>
    <mergeCell ref="D27:F27"/>
    <mergeCell ref="C4:C5"/>
    <mergeCell ref="J27:L27"/>
    <mergeCell ref="O4:O5"/>
    <mergeCell ref="A27:C27"/>
    <mergeCell ref="J4:L4"/>
    <mergeCell ref="J26:L26"/>
    <mergeCell ref="A26:C26"/>
    <mergeCell ref="A1:Q1"/>
    <mergeCell ref="G24:I24"/>
    <mergeCell ref="J25:L25"/>
    <mergeCell ref="Q4:Q5"/>
    <mergeCell ref="A23:C23"/>
    <mergeCell ref="D4:F4"/>
    <mergeCell ref="G4:I4"/>
    <mergeCell ref="G26:I26"/>
    <mergeCell ref="D25:F25"/>
    <mergeCell ref="D24:F24"/>
    <mergeCell ref="G25:I25"/>
    <mergeCell ref="D23:F23"/>
    <mergeCell ref="A4:A5"/>
    <mergeCell ref="J23:L23"/>
    <mergeCell ref="A2:Q2"/>
    <mergeCell ref="D26:F26"/>
    <mergeCell ref="A24:C24"/>
    <mergeCell ref="M4:M5"/>
    <mergeCell ref="B4:B5"/>
    <mergeCell ref="G27:I27"/>
    <mergeCell ref="G23:I23"/>
    <mergeCell ref="N4:N5"/>
    <mergeCell ref="P4:P5"/>
  </mergeCells>
  <conditionalFormatting sqref="O6:O20">
    <cfRule type="cellIs" priority="1" operator="equal" dxfId="0">
      <formula>"PASS"</formula>
    </cfRule>
    <cfRule type="cellIs" priority="2" operator="equal" dxfId="1">
      <formula>"FAIL"</formula>
    </cfRule>
  </conditionalFormatting>
  <conditionalFormatting sqref="P6:P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showDropDown="0" showInputMessage="0" showErrorMessage="0" allowBlank="1" type="whole" operator="between">
      <formula1>0</formula1>
      <formula2>20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8-A EXAMINATION MARK SHEET</t>
        </is>
      </c>
    </row>
    <row r="2" ht="22" customHeight="1">
      <c r="A2" s="2" t="inlineStr">
        <is>
          <t>Academic Year: 2025–2026  |  Class: 8-A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n">
        <v>1</v>
      </c>
      <c r="B6" s="5" t="inlineStr">
        <is>
          <t>20</t>
        </is>
      </c>
      <c r="C6" s="6" t="inlineStr">
        <is>
          <t>Nila</t>
        </is>
      </c>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$M$6:$M$20))</f>
        <v/>
      </c>
    </row>
    <row r="7">
      <c r="A7" s="12" t="n">
        <v>2</v>
      </c>
      <c r="B7" s="12" t="inlineStr">
        <is>
          <t>21</t>
        </is>
      </c>
      <c r="C7" s="13" t="inlineStr">
        <is>
          <t>Gopinath</t>
        </is>
      </c>
      <c r="D7" s="12" t="n"/>
      <c r="E7" s="12" t="n"/>
      <c r="F7" s="14">
        <f>IF(ISBLANK(C7), "", D7+E7)</f>
        <v/>
      </c>
      <c r="G7" s="12" t="n"/>
      <c r="H7" s="12" t="n"/>
      <c r="I7" s="14">
        <f>IF(ISBLANK(C7), "", G7+H7)</f>
        <v/>
      </c>
      <c r="J7" s="12" t="n"/>
      <c r="K7" s="12" t="n"/>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$M$6:$M$20))</f>
        <v/>
      </c>
    </row>
    <row r="8">
      <c r="A8" s="5" t="n">
        <v>3</v>
      </c>
      <c r="B8" s="5" t="inlineStr">
        <is>
          <t>22</t>
        </is>
      </c>
      <c r="C8" s="6" t="inlineStr">
        <is>
          <t>lisa</t>
        </is>
      </c>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$M$6:$M$20))</f>
        <v/>
      </c>
    </row>
    <row r="9">
      <c r="A9" s="12" t="n">
        <v>4</v>
      </c>
      <c r="B9" s="12" t="inlineStr">
        <is>
          <t>23</t>
        </is>
      </c>
      <c r="C9" s="13" t="inlineStr">
        <is>
          <t>bala</t>
        </is>
      </c>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9">
        <f>IF(COUNTA(C6:C20)&gt;0, ROUND(AVERAGE(M6:M20), 1), "-")</f>
        <v/>
      </c>
      <c r="N23" s="30">
        <f>IF(COUNTA(C6:C20)&gt;0, ROUND(AVERAGE(N6:N20), 1), "-")</f>
        <v/>
      </c>
      <c r="O23" s="27" t="n"/>
      <c r="P23" s="27" t="n"/>
      <c r="Q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2">
        <f>IF(COUNTA(C6:C20)&gt;0, MAX(M6:M20), "-")</f>
        <v/>
      </c>
      <c r="N24" s="30">
        <f>IF(COUNTA(C6:C20)&gt;0, MAX(N6:N20), "-")</f>
        <v/>
      </c>
      <c r="O24" s="27" t="n"/>
      <c r="P24" s="27" t="n"/>
      <c r="Q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2">
        <f>IF(COUNTA(C6:C20)&gt;0, MIN(M6:M20), "-")</f>
        <v/>
      </c>
      <c r="N25" s="30">
        <f>IF(COUNTA(C6:C20)&gt;0, MIN(N6:N20), "-")</f>
        <v/>
      </c>
      <c r="O25" s="27" t="n"/>
      <c r="P25" s="27" t="n"/>
      <c r="Q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2">
        <f>COUNTIF(O6:O20, "PASS")</f>
        <v/>
      </c>
      <c r="N26" s="31" t="n"/>
      <c r="O26" s="27" t="n"/>
      <c r="P26" s="27" t="n"/>
      <c r="Q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3">
        <f>IF(COUNTA(C6:C20)&gt;0, ROUND((M26/COUNTA(C6:C20))*100, 1), "-")</f>
        <v/>
      </c>
      <c r="N27" s="31" t="n"/>
      <c r="O27" s="27" t="n"/>
      <c r="P27" s="27" t="n"/>
      <c r="Q27" s="27" t="n"/>
    </row>
  </sheetData>
  <mergeCells count="33">
    <mergeCell ref="A25:C25"/>
    <mergeCell ref="J24:L24"/>
    <mergeCell ref="D27:F27"/>
    <mergeCell ref="C4:C5"/>
    <mergeCell ref="J27:L27"/>
    <mergeCell ref="O4:O5"/>
    <mergeCell ref="A27:C27"/>
    <mergeCell ref="J4:L4"/>
    <mergeCell ref="J26:L26"/>
    <mergeCell ref="A26:C26"/>
    <mergeCell ref="A1:Q1"/>
    <mergeCell ref="G24:I24"/>
    <mergeCell ref="J25:L25"/>
    <mergeCell ref="Q4:Q5"/>
    <mergeCell ref="A23:C23"/>
    <mergeCell ref="D4:F4"/>
    <mergeCell ref="G4:I4"/>
    <mergeCell ref="G26:I26"/>
    <mergeCell ref="D25:F25"/>
    <mergeCell ref="D24:F24"/>
    <mergeCell ref="G25:I25"/>
    <mergeCell ref="D23:F23"/>
    <mergeCell ref="A4:A5"/>
    <mergeCell ref="J23:L23"/>
    <mergeCell ref="A2:Q2"/>
    <mergeCell ref="D26:F26"/>
    <mergeCell ref="A24:C24"/>
    <mergeCell ref="M4:M5"/>
    <mergeCell ref="B4:B5"/>
    <mergeCell ref="G27:I27"/>
    <mergeCell ref="G23:I23"/>
    <mergeCell ref="N4:N5"/>
    <mergeCell ref="P4:P5"/>
  </mergeCells>
  <conditionalFormatting sqref="O6:O20">
    <cfRule type="cellIs" priority="1" operator="equal" dxfId="0">
      <formula>"PASS"</formula>
    </cfRule>
    <cfRule type="cellIs" priority="2" operator="equal" dxfId="1">
      <formula>"FAIL"</formula>
    </cfRule>
  </conditionalFormatting>
  <conditionalFormatting sqref="P6:P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showDropDown="0" showInputMessage="0" showErrorMessage="0" allowBlank="1" type="whole" operator="between">
      <formula1>0</formula1>
      <formula2>20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8-B EXAMINATION MARK SHEET</t>
        </is>
      </c>
    </row>
    <row r="2" ht="22" customHeight="1">
      <c r="A2" s="2" t="inlineStr">
        <is>
          <t>Academic Year: 2025–2026  |  Class: 8-B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n">
        <v>1</v>
      </c>
      <c r="B6" s="5" t="inlineStr">
        <is>
          <t>20</t>
        </is>
      </c>
      <c r="C6" s="6" t="inlineStr">
        <is>
          <t>Aran</t>
        </is>
      </c>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$M$6:$M$20))</f>
        <v/>
      </c>
    </row>
    <row r="7">
      <c r="A7" s="12" t="n">
        <v>2</v>
      </c>
      <c r="B7" s="12" t="inlineStr">
        <is>
          <t>21</t>
        </is>
      </c>
      <c r="C7" s="13" t="inlineStr">
        <is>
          <t>Harish</t>
        </is>
      </c>
      <c r="D7" s="12" t="n"/>
      <c r="E7" s="12" t="n"/>
      <c r="F7" s="14">
        <f>IF(ISBLANK(C7), "", D7+E7)</f>
        <v/>
      </c>
      <c r="G7" s="12" t="n"/>
      <c r="H7" s="12" t="n"/>
      <c r="I7" s="14">
        <f>IF(ISBLANK(C7), "", G7+H7)</f>
        <v/>
      </c>
      <c r="J7" s="12" t="n">
        <v>8</v>
      </c>
      <c r="K7" s="12" t="n">
        <v>2</v>
      </c>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$M$6:$M$20))</f>
        <v/>
      </c>
    </row>
    <row r="8">
      <c r="A8" s="5" t="n">
        <v>3</v>
      </c>
      <c r="B8" s="5" t="inlineStr">
        <is>
          <t>22</t>
        </is>
      </c>
      <c r="C8" s="6" t="inlineStr">
        <is>
          <t>Diya</t>
        </is>
      </c>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$M$6:$M$20))</f>
        <v/>
      </c>
    </row>
    <row r="9">
      <c r="A9" s="12" t="n">
        <v>4</v>
      </c>
      <c r="B9" s="12" t="inlineStr">
        <is>
          <t>23</t>
        </is>
      </c>
      <c r="C9" s="13" t="inlineStr">
        <is>
          <t>Oviya</t>
        </is>
      </c>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9">
        <f>IF(COUNTA(C6:C20)&gt;0, ROUND(AVERAGE(M6:M20), 1), "-")</f>
        <v/>
      </c>
      <c r="N23" s="30">
        <f>IF(COUNTA(C6:C20)&gt;0, ROUND(AVERAGE(N6:N20), 1), "-")</f>
        <v/>
      </c>
      <c r="O23" s="27" t="n"/>
      <c r="P23" s="27" t="n"/>
      <c r="Q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2">
        <f>IF(COUNTA(C6:C20)&gt;0, MAX(M6:M20), "-")</f>
        <v/>
      </c>
      <c r="N24" s="30">
        <f>IF(COUNTA(C6:C20)&gt;0, MAX(N6:N20), "-")</f>
        <v/>
      </c>
      <c r="O24" s="27" t="n"/>
      <c r="P24" s="27" t="n"/>
      <c r="Q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2">
        <f>IF(COUNTA(C6:C20)&gt;0, MIN(M6:M20), "-")</f>
        <v/>
      </c>
      <c r="N25" s="30">
        <f>IF(COUNTA(C6:C20)&gt;0, MIN(N6:N20), "-")</f>
        <v/>
      </c>
      <c r="O25" s="27" t="n"/>
      <c r="P25" s="27" t="n"/>
      <c r="Q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2">
        <f>COUNTIF(O6:O20, "PASS")</f>
        <v/>
      </c>
      <c r="N26" s="31" t="n"/>
      <c r="O26" s="27" t="n"/>
      <c r="P26" s="27" t="n"/>
      <c r="Q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3">
        <f>IF(COUNTA(C6:C20)&gt;0, ROUND((M26/COUNTA(C6:C20))*100, 1), "-")</f>
        <v/>
      </c>
      <c r="N27" s="31" t="n"/>
      <c r="O27" s="27" t="n"/>
      <c r="P27" s="27" t="n"/>
      <c r="Q27" s="27" t="n"/>
    </row>
  </sheetData>
  <mergeCells count="33">
    <mergeCell ref="A25:C25"/>
    <mergeCell ref="J24:L24"/>
    <mergeCell ref="D27:F27"/>
    <mergeCell ref="C4:C5"/>
    <mergeCell ref="J27:L27"/>
    <mergeCell ref="O4:O5"/>
    <mergeCell ref="A27:C27"/>
    <mergeCell ref="J4:L4"/>
    <mergeCell ref="J26:L26"/>
    <mergeCell ref="A26:C26"/>
    <mergeCell ref="A1:Q1"/>
    <mergeCell ref="G24:I24"/>
    <mergeCell ref="J25:L25"/>
    <mergeCell ref="Q4:Q5"/>
    <mergeCell ref="A23:C23"/>
    <mergeCell ref="D4:F4"/>
    <mergeCell ref="G4:I4"/>
    <mergeCell ref="G26:I26"/>
    <mergeCell ref="D25:F25"/>
    <mergeCell ref="D24:F24"/>
    <mergeCell ref="G25:I25"/>
    <mergeCell ref="D23:F23"/>
    <mergeCell ref="A4:A5"/>
    <mergeCell ref="J23:L23"/>
    <mergeCell ref="A2:Q2"/>
    <mergeCell ref="D26:F26"/>
    <mergeCell ref="A24:C24"/>
    <mergeCell ref="M4:M5"/>
    <mergeCell ref="B4:B5"/>
    <mergeCell ref="G27:I27"/>
    <mergeCell ref="G23:I23"/>
    <mergeCell ref="N4:N5"/>
    <mergeCell ref="P4:P5"/>
  </mergeCells>
  <conditionalFormatting sqref="O6:O20">
    <cfRule type="cellIs" priority="1" operator="equal" dxfId="0">
      <formula>"PASS"</formula>
    </cfRule>
    <cfRule type="cellIs" priority="2" operator="equal" dxfId="1">
      <formula>"FAIL"</formula>
    </cfRule>
  </conditionalFormatting>
  <conditionalFormatting sqref="P6:P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showDropDown="0" showInputMessage="0" showErrorMessage="0" allowBlank="1" type="whole" operator="between">
      <formula1>0</formula1>
      <formula2>20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8-C EXAMINATION MARK SHEET</t>
        </is>
      </c>
    </row>
    <row r="2" ht="22" customHeight="1">
      <c r="A2" s="2" t="inlineStr">
        <is>
          <t>Academic Year: 2025–2026  |  Class: 8-C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n">
        <v>1</v>
      </c>
      <c r="B6" s="5" t="inlineStr">
        <is>
          <t>20</t>
        </is>
      </c>
      <c r="C6" s="6" t="inlineStr">
        <is>
          <t>Riya</t>
        </is>
      </c>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$M$6:$M$20))</f>
        <v/>
      </c>
    </row>
    <row r="7">
      <c r="A7" s="12" t="n">
        <v>2</v>
      </c>
      <c r="B7" s="12" t="inlineStr">
        <is>
          <t>21</t>
        </is>
      </c>
      <c r="C7" s="13" t="inlineStr">
        <is>
          <t>Arul</t>
        </is>
      </c>
      <c r="D7" s="12" t="n"/>
      <c r="E7" s="12" t="n"/>
      <c r="F7" s="14">
        <f>IF(ISBLANK(C7), "", D7+E7)</f>
        <v/>
      </c>
      <c r="G7" s="12" t="n"/>
      <c r="H7" s="12" t="n"/>
      <c r="I7" s="14">
        <f>IF(ISBLANK(C7), "", G7+H7)</f>
        <v/>
      </c>
      <c r="J7" s="12" t="n"/>
      <c r="K7" s="12" t="n"/>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$M$6:$M$20))</f>
        <v/>
      </c>
    </row>
    <row r="8">
      <c r="A8" s="5" t="n">
        <v>3</v>
      </c>
      <c r="B8" s="5" t="inlineStr">
        <is>
          <t>22</t>
        </is>
      </c>
      <c r="C8" s="6" t="inlineStr">
        <is>
          <t>praveen</t>
        </is>
      </c>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$M$6:$M$20))</f>
        <v/>
      </c>
    </row>
    <row r="9">
      <c r="A9" s="12" t="n">
        <v>4</v>
      </c>
      <c r="B9" s="12" t="inlineStr">
        <is>
          <t>23</t>
        </is>
      </c>
      <c r="C9" s="13" t="inlineStr">
        <is>
          <t>Rohith</t>
        </is>
      </c>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9">
        <f>IF(COUNTA(C6:C20)&gt;0, ROUND(AVERAGE(M6:M20), 1), "-")</f>
        <v/>
      </c>
      <c r="N23" s="30">
        <f>IF(COUNTA(C6:C20)&gt;0, ROUND(AVERAGE(N6:N20), 1), "-")</f>
        <v/>
      </c>
      <c r="O23" s="27" t="n"/>
      <c r="P23" s="27" t="n"/>
      <c r="Q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2">
        <f>IF(COUNTA(C6:C20)&gt;0, MAX(M6:M20), "-")</f>
        <v/>
      </c>
      <c r="N24" s="30">
        <f>IF(COUNTA(C6:C20)&gt;0, MAX(N6:N20), "-")</f>
        <v/>
      </c>
      <c r="O24" s="27" t="n"/>
      <c r="P24" s="27" t="n"/>
      <c r="Q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2">
        <f>IF(COUNTA(C6:C20)&gt;0, MIN(M6:M20), "-")</f>
        <v/>
      </c>
      <c r="N25" s="30">
        <f>IF(COUNTA(C6:C20)&gt;0, MIN(N6:N20), "-")</f>
        <v/>
      </c>
      <c r="O25" s="27" t="n"/>
      <c r="P25" s="27" t="n"/>
      <c r="Q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2">
        <f>COUNTIF(O6:O20, "PASS")</f>
        <v/>
      </c>
      <c r="N26" s="31" t="n"/>
      <c r="O26" s="27" t="n"/>
      <c r="P26" s="27" t="n"/>
      <c r="Q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3">
        <f>IF(COUNTA(C6:C20)&gt;0, ROUND((M26/COUNTA(C6:C20))*100, 1), "-")</f>
        <v/>
      </c>
      <c r="N27" s="31" t="n"/>
      <c r="O27" s="27" t="n"/>
      <c r="P27" s="27" t="n"/>
      <c r="Q27" s="27" t="n"/>
    </row>
  </sheetData>
  <mergeCells count="33">
    <mergeCell ref="A25:C25"/>
    <mergeCell ref="J24:L24"/>
    <mergeCell ref="D27:F27"/>
    <mergeCell ref="C4:C5"/>
    <mergeCell ref="J27:L27"/>
    <mergeCell ref="O4:O5"/>
    <mergeCell ref="A27:C27"/>
    <mergeCell ref="J4:L4"/>
    <mergeCell ref="J26:L26"/>
    <mergeCell ref="A26:C26"/>
    <mergeCell ref="A1:Q1"/>
    <mergeCell ref="G24:I24"/>
    <mergeCell ref="J25:L25"/>
    <mergeCell ref="Q4:Q5"/>
    <mergeCell ref="A23:C23"/>
    <mergeCell ref="D4:F4"/>
    <mergeCell ref="G4:I4"/>
    <mergeCell ref="G26:I26"/>
    <mergeCell ref="D25:F25"/>
    <mergeCell ref="D24:F24"/>
    <mergeCell ref="G25:I25"/>
    <mergeCell ref="D23:F23"/>
    <mergeCell ref="A4:A5"/>
    <mergeCell ref="J23:L23"/>
    <mergeCell ref="A2:Q2"/>
    <mergeCell ref="D26:F26"/>
    <mergeCell ref="A24:C24"/>
    <mergeCell ref="M4:M5"/>
    <mergeCell ref="B4:B5"/>
    <mergeCell ref="G27:I27"/>
    <mergeCell ref="G23:I23"/>
    <mergeCell ref="N4:N5"/>
    <mergeCell ref="P4:P5"/>
  </mergeCells>
  <conditionalFormatting sqref="O6:O20">
    <cfRule type="cellIs" priority="1" operator="equal" dxfId="0">
      <formula>"PASS"</formula>
    </cfRule>
    <cfRule type="cellIs" priority="2" operator="equal" dxfId="1">
      <formula>"FAIL"</formula>
    </cfRule>
  </conditionalFormatting>
  <conditionalFormatting sqref="P6:P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showDropDown="0" showInputMessage="0" showErrorMessage="0" allowBlank="1" type="whole" operator="between">
      <formula1>0</formula1>
      <formula2>20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GRADE 11 EXAMINATION MARK SHEET</t>
        </is>
      </c>
    </row>
    <row r="2" ht="22" customHeight="1">
      <c r="A2" s="2" t="inlineStr">
        <is>
          <t>Academic Year: 2025–2026  |  Class: Grade 11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inlineStr"/>
      <c r="B6" s="5" t="inlineStr"/>
      <c r="C6" s="6" t="inlineStr"/>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$M$6:$M$20))</f>
        <v/>
      </c>
    </row>
    <row r="7">
      <c r="A7" s="12" t="inlineStr"/>
      <c r="B7" s="12" t="inlineStr"/>
      <c r="C7" s="13" t="inlineStr"/>
      <c r="D7" s="12" t="n"/>
      <c r="E7" s="12" t="n"/>
      <c r="F7" s="14">
        <f>IF(ISBLANK(C7), "", D7+E7)</f>
        <v/>
      </c>
      <c r="G7" s="12" t="n"/>
      <c r="H7" s="12" t="n"/>
      <c r="I7" s="14">
        <f>IF(ISBLANK(C7), "", G7+H7)</f>
        <v/>
      </c>
      <c r="J7" s="12" t="n"/>
      <c r="K7" s="12" t="n"/>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$M$6:$M$20))</f>
        <v/>
      </c>
    </row>
    <row r="8">
      <c r="A8" s="5" t="inlineStr"/>
      <c r="B8" s="5" t="inlineStr"/>
      <c r="C8" s="6" t="inlineStr"/>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$M$6:$M$20))</f>
        <v/>
      </c>
    </row>
    <row r="9">
      <c r="A9" s="12" t="inlineStr"/>
      <c r="B9" s="12" t="inlineStr"/>
      <c r="C9" s="13" t="inlineStr"/>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$M$6:$M$20))</f>
        <v/>
      </c>
    </row>
    <row r="10">
      <c r="A10" s="5" t="inlineStr"/>
      <c r="B10" s="5" t="inlineStr"/>
      <c r="C10" s="6" t="inlineStr"/>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$M$6:$M$20))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$M$6:$M$20))</f>
        <v/>
      </c>
    </row>
    <row r="12">
      <c r="A12" s="5" t="inlineStr"/>
      <c r="B12" s="5" t="inlineStr"/>
      <c r="C12" s="6" t="inlineStr"/>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$M$6:$M$20))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$M$6:$M$20))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$M$6:$M$20))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$M$6:$M$20))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$M$6:$M$20))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$M$6:$M$20))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$M$6:$M$20))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$M$6:$M$20))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$M$6:$M$20))</f>
        <v/>
      </c>
    </row>
    <row r="22">
      <c r="A22" t="inlineStr"/>
    </row>
    <row r="23">
      <c r="A23" s="26" t="inlineStr">
        <is>
          <t>CLASS AVERAGE</t>
        </is>
      </c>
      <c r="B23" s="27" t="n"/>
      <c r="C23" s="27" t="n"/>
      <c r="D23" s="28">
        <f>IF(COUNTA(C6:C20)&gt;0, ROUND(AVERAGE(F6:F20), 1), "-")</f>
        <v/>
      </c>
      <c r="E23" s="27" t="n"/>
      <c r="F23" s="27" t="n"/>
      <c r="G23" s="28">
        <f>IF(COUNTA(C6:C20)&gt;0, ROUND(AVERAGE(I6:I20), 1), "-")</f>
        <v/>
      </c>
      <c r="H23" s="27" t="n"/>
      <c r="I23" s="27" t="n"/>
      <c r="J23" s="28">
        <f>IF(COUNTA(C6:C20)&gt;0, ROUND(AVERAGE(L6:L20), 1), "-")</f>
        <v/>
      </c>
      <c r="K23" s="27" t="n"/>
      <c r="L23" s="27" t="n"/>
      <c r="M23" s="29">
        <f>IF(COUNTA(C6:C20)&gt;0, ROUND(AVERAGE(M6:M20), 1), "-")</f>
        <v/>
      </c>
      <c r="N23" s="30">
        <f>IF(COUNTA(C6:C20)&gt;0, ROUND(AVERAGE(N6:N20), 1), "-")</f>
        <v/>
      </c>
      <c r="O23" s="27" t="n"/>
      <c r="P23" s="27" t="n"/>
      <c r="Q23" s="27" t="n"/>
    </row>
    <row r="24">
      <c r="A24" s="26" t="inlineStr">
        <is>
          <t>HIGHEST MARKS</t>
        </is>
      </c>
      <c r="B24" s="27" t="n"/>
      <c r="C24" s="27" t="n"/>
      <c r="D24" s="31">
        <f>IF(COUNTA(C6:C20)&gt;0, MAX(F6:F20), "-")</f>
        <v/>
      </c>
      <c r="E24" s="27" t="n"/>
      <c r="F24" s="27" t="n"/>
      <c r="G24" s="31">
        <f>IF(COUNTA(C6:C20)&gt;0, MAX(I6:I20), "-")</f>
        <v/>
      </c>
      <c r="H24" s="27" t="n"/>
      <c r="I24" s="27" t="n"/>
      <c r="J24" s="31">
        <f>IF(COUNTA(C6:C20)&gt;0, MAX(L6:L20), "-")</f>
        <v/>
      </c>
      <c r="K24" s="27" t="n"/>
      <c r="L24" s="27" t="n"/>
      <c r="M24" s="32">
        <f>IF(COUNTA(C6:C20)&gt;0, MAX(M6:M20), "-")</f>
        <v/>
      </c>
      <c r="N24" s="30">
        <f>IF(COUNTA(C6:C20)&gt;0, MAX(N6:N20), "-")</f>
        <v/>
      </c>
      <c r="O24" s="27" t="n"/>
      <c r="P24" s="27" t="n"/>
      <c r="Q24" s="27" t="n"/>
    </row>
    <row r="25">
      <c r="A25" s="26" t="inlineStr">
        <is>
          <t>LOWEST MARKS</t>
        </is>
      </c>
      <c r="B25" s="27" t="n"/>
      <c r="C25" s="27" t="n"/>
      <c r="D25" s="31">
        <f>IF(COUNTA(C6:C20)&gt;0, MIN(F6:F20), "-")</f>
        <v/>
      </c>
      <c r="E25" s="27" t="n"/>
      <c r="F25" s="27" t="n"/>
      <c r="G25" s="31">
        <f>IF(COUNTA(C6:C20)&gt;0, MIN(I6:I20), "-")</f>
        <v/>
      </c>
      <c r="H25" s="27" t="n"/>
      <c r="I25" s="27" t="n"/>
      <c r="J25" s="31">
        <f>IF(COUNTA(C6:C20)&gt;0, MIN(L6:L20), "-")</f>
        <v/>
      </c>
      <c r="K25" s="27" t="n"/>
      <c r="L25" s="27" t="n"/>
      <c r="M25" s="32">
        <f>IF(COUNTA(C6:C20)&gt;0, MIN(M6:M20), "-")</f>
        <v/>
      </c>
      <c r="N25" s="30">
        <f>IF(COUNTA(C6:C20)&gt;0, MIN(N6:N20), "-")</f>
        <v/>
      </c>
      <c r="O25" s="27" t="n"/>
      <c r="P25" s="27" t="n"/>
      <c r="Q25" s="27" t="n"/>
    </row>
    <row r="26">
      <c r="A26" s="26" t="inlineStr">
        <is>
          <t>TOTAL PASSED</t>
        </is>
      </c>
      <c r="B26" s="27" t="n"/>
      <c r="C26" s="27" t="n"/>
      <c r="D26" s="31">
        <f>COUNTIF(F6:F20, "&gt;=35")</f>
        <v/>
      </c>
      <c r="E26" s="27" t="n"/>
      <c r="F26" s="27" t="n"/>
      <c r="G26" s="31">
        <f>COUNTIF(I6:I20, "&gt;=35")</f>
        <v/>
      </c>
      <c r="H26" s="27" t="n"/>
      <c r="I26" s="27" t="n"/>
      <c r="J26" s="31">
        <f>COUNTIF(L6:L20, "&gt;=35")</f>
        <v/>
      </c>
      <c r="K26" s="27" t="n"/>
      <c r="L26" s="27" t="n"/>
      <c r="M26" s="32">
        <f>COUNTIF(O6:O20, "PASS")</f>
        <v/>
      </c>
      <c r="N26" s="31" t="n"/>
      <c r="O26" s="27" t="n"/>
      <c r="P26" s="27" t="n"/>
      <c r="Q26" s="27" t="n"/>
    </row>
    <row r="27">
      <c r="A27" s="26" t="inlineStr">
        <is>
          <t>PASS PERCENTAGE (%)</t>
        </is>
      </c>
      <c r="B27" s="27" t="n"/>
      <c r="C27" s="27" t="n"/>
      <c r="D27" s="30">
        <f>IF(COUNTA(C6:C20)&gt;0, ROUND((D26/COUNTA(C6:C20))*100, 1), "-")</f>
        <v/>
      </c>
      <c r="E27" s="27" t="n"/>
      <c r="F27" s="27" t="n"/>
      <c r="G27" s="30">
        <f>IF(COUNTA(C6:C20)&gt;0, ROUND((G26/COUNTA(C6:C20))*100, 1), "-")</f>
        <v/>
      </c>
      <c r="H27" s="27" t="n"/>
      <c r="I27" s="27" t="n"/>
      <c r="J27" s="30">
        <f>IF(COUNTA(C6:C20)&gt;0, ROUND((J26/COUNTA(C6:C20))*100, 1), "-")</f>
        <v/>
      </c>
      <c r="K27" s="27" t="n"/>
      <c r="L27" s="27" t="n"/>
      <c r="M27" s="33">
        <f>IF(COUNTA(C6:C20)&gt;0, ROUND((M26/COUNTA(C6:C20))*100, 1), "-")</f>
        <v/>
      </c>
      <c r="N27" s="31" t="n"/>
      <c r="O27" s="27" t="n"/>
      <c r="P27" s="27" t="n"/>
      <c r="Q27" s="27" t="n"/>
    </row>
  </sheetData>
  <mergeCells count="33">
    <mergeCell ref="A25:C25"/>
    <mergeCell ref="J24:L24"/>
    <mergeCell ref="D27:F27"/>
    <mergeCell ref="C4:C5"/>
    <mergeCell ref="J27:L27"/>
    <mergeCell ref="O4:O5"/>
    <mergeCell ref="A27:C27"/>
    <mergeCell ref="J4:L4"/>
    <mergeCell ref="J26:L26"/>
    <mergeCell ref="A26:C26"/>
    <mergeCell ref="A1:Q1"/>
    <mergeCell ref="G24:I24"/>
    <mergeCell ref="J25:L25"/>
    <mergeCell ref="Q4:Q5"/>
    <mergeCell ref="A23:C23"/>
    <mergeCell ref="D4:F4"/>
    <mergeCell ref="G4:I4"/>
    <mergeCell ref="G26:I26"/>
    <mergeCell ref="D25:F25"/>
    <mergeCell ref="D24:F24"/>
    <mergeCell ref="G25:I25"/>
    <mergeCell ref="D23:F23"/>
    <mergeCell ref="A4:A5"/>
    <mergeCell ref="J23:L23"/>
    <mergeCell ref="A2:Q2"/>
    <mergeCell ref="D26:F26"/>
    <mergeCell ref="A24:C24"/>
    <mergeCell ref="M4:M5"/>
    <mergeCell ref="B4:B5"/>
    <mergeCell ref="G27:I27"/>
    <mergeCell ref="G23:I23"/>
    <mergeCell ref="N4:N5"/>
    <mergeCell ref="P4:P5"/>
  </mergeCells>
  <conditionalFormatting sqref="O6:O20">
    <cfRule type="cellIs" priority="1" operator="equal" dxfId="0">
      <formula>"PASS"</formula>
    </cfRule>
    <cfRule type="cellIs" priority="2" operator="equal" dxfId="1">
      <formula>"FAIL"</formula>
    </cfRule>
  </conditionalFormatting>
  <conditionalFormatting sqref="P6:P20">
    <cfRule type="cellIs" priority="3" operator="equal" dxfId="2">
      <formula>"A+"</formula>
    </cfRule>
  </conditionalFormatting>
  <dataValidations count="2">
    <dataValidation sqref="D6 D7 D8 D9 D10 D11 D12 D13 D14 D15 D16 D17 D18 D19 D20 G6 G7 G8 G9 G10 G11 G12 G13 G14 G15 G16 G17 G18 G19 G20 J6 J7 J8 J9 J10 J11 J12 J13 J14 J15 J16 J17 J18 J19 J20" showDropDown="0" showInputMessage="0" showErrorMessage="0" allowBlank="1" type="whole" operator="between">
      <formula1>0</formula1>
      <formula2>80</formula2>
    </dataValidation>
    <dataValidation sqref="E6 E7 E8 E9 E10 E11 E12 E13 E14 E15 E16 E17 E18 E19 E20 H6 H7 H8 H9 H10 H11 H12 H13 H14 H15 H16 H17 H18 H19 H20 K6 K7 K8 K9 K10 K11 K12 K13 K14 K15 K16 K17 K18 K19 K20" showDropDown="0" showInputMessage="0" showErrorMessage="0" allowBlank="1" type="whole" operator="between">
      <formula1>0</formula1>
      <formula2>20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24" customWidth="1" min="3" max="3"/>
    <col width="9" customWidth="1" min="4" max="4"/>
    <col width="9" customWidth="1" min="5" max="5"/>
    <col width="11" customWidth="1" min="6" max="6"/>
    <col width="9" customWidth="1" min="7" max="7"/>
    <col width="9" customWidth="1" min="8" max="8"/>
    <col width="11" customWidth="1" min="9" max="9"/>
    <col width="9" customWidth="1" min="10" max="10"/>
    <col width="9" customWidth="1" min="11" max="11"/>
    <col width="11" customWidth="1" min="12" max="12"/>
    <col width="14" customWidth="1" min="13" max="13"/>
    <col width="13" customWidth="1" min="14" max="14"/>
    <col width="11" customWidth="1" min="15" max="15"/>
    <col width="9" customWidth="1" min="16" max="16"/>
    <col width="10" customWidth="1" min="17" max="17"/>
  </cols>
  <sheetData>
    <row r="1" ht="38" customHeight="1">
      <c r="A1" s="1" t="inlineStr">
        <is>
          <t>EVAL AI (ADEM) — [CLASS NAME] EXAMINATION MARK SHEET</t>
        </is>
      </c>
    </row>
    <row r="2" ht="22" customHeight="1">
      <c r="A2" s="2" t="inlineStr">
        <is>
          <t>Academic Year: 2025–2026  |  Class: [Class Name]  |  Total Subjects: 3  |  Max Marks: 300  |  Pass: Min 35% in each subject</t>
        </is>
      </c>
    </row>
    <row r="3" ht="8" customHeight="1"/>
    <row r="4" ht="26" customHeight="1">
      <c r="A4" s="19" t="inlineStr">
        <is>
          <t>S.No</t>
        </is>
      </c>
      <c r="B4" s="19" t="inlineStr">
        <is>
          <t>Roll No</t>
        </is>
      </c>
      <c r="C4" s="19" t="inlineStr">
        <is>
          <t>Student Name</t>
        </is>
      </c>
      <c r="D4" s="20" t="inlineStr">
        <is>
          <t>BIOLOGY (100)</t>
        </is>
      </c>
      <c r="E4" s="21" t="n"/>
      <c r="F4" s="21" t="n"/>
      <c r="G4" s="20" t="inlineStr">
        <is>
          <t>ENGLISH (100)</t>
        </is>
      </c>
      <c r="H4" s="21" t="n"/>
      <c r="I4" s="21" t="n"/>
      <c r="J4" s="20" t="inlineStr">
        <is>
          <t>MATH (100)</t>
        </is>
      </c>
      <c r="K4" s="21" t="n"/>
      <c r="L4" s="21" t="n"/>
      <c r="M4" s="20" t="inlineStr">
        <is>
          <t>Grand Total
(300)</t>
        </is>
      </c>
      <c r="N4" s="20" t="inlineStr">
        <is>
          <t>Percentage
(%)</t>
        </is>
      </c>
      <c r="O4" s="20" t="inlineStr">
        <is>
          <t>Result</t>
        </is>
      </c>
      <c r="P4" s="20" t="inlineStr">
        <is>
          <t>Grade</t>
        </is>
      </c>
      <c r="Q4" s="20" t="inlineStr">
        <is>
          <t>Class
Rank</t>
        </is>
      </c>
    </row>
    <row r="5" ht="28" customHeight="1">
      <c r="A5" s="21" t="n"/>
      <c r="B5" s="21" t="n"/>
      <c r="C5" s="21" t="n"/>
      <c r="D5" s="22" t="inlineStr">
        <is>
          <t>Theory
(80)</t>
        </is>
      </c>
      <c r="E5" s="22" t="inlineStr">
        <is>
          <t>Internal
(20)</t>
        </is>
      </c>
      <c r="F5" s="23" t="inlineStr">
        <is>
          <t>Total
(100)</t>
        </is>
      </c>
      <c r="G5" s="22" t="inlineStr">
        <is>
          <t>Theory
(80)</t>
        </is>
      </c>
      <c r="H5" s="22" t="inlineStr">
        <is>
          <t>Internal
(20)</t>
        </is>
      </c>
      <c r="I5" s="23" t="inlineStr">
        <is>
          <t>Total
(100)</t>
        </is>
      </c>
      <c r="J5" s="22" t="inlineStr">
        <is>
          <t>Theory
(80)</t>
        </is>
      </c>
      <c r="K5" s="22" t="inlineStr">
        <is>
          <t>Internal
(20)</t>
        </is>
      </c>
      <c r="L5" s="23" t="inlineStr">
        <is>
          <t>Total
(100)</t>
        </is>
      </c>
      <c r="M5" s="21" t="n"/>
      <c r="N5" s="21" t="n"/>
      <c r="O5" s="21" t="n"/>
      <c r="P5" s="21" t="n"/>
      <c r="Q5" s="21" t="n"/>
    </row>
    <row r="6">
      <c r="A6" s="5" t="inlineStr"/>
      <c r="B6" s="5" t="inlineStr"/>
      <c r="C6" s="6" t="inlineStr"/>
      <c r="D6" s="5" t="n"/>
      <c r="E6" s="5" t="n"/>
      <c r="F6" s="7">
        <f>IF(ISBLANK(C6), "", D6+E6)</f>
        <v/>
      </c>
      <c r="G6" s="5" t="n"/>
      <c r="H6" s="5" t="n"/>
      <c r="I6" s="7">
        <f>IF(ISBLANK(C6), "", G6+H6)</f>
        <v/>
      </c>
      <c r="J6" s="5" t="n"/>
      <c r="K6" s="5" t="n"/>
      <c r="L6" s="7">
        <f>IF(ISBLANK(C6), "", J6+K6)</f>
        <v/>
      </c>
      <c r="M6" s="24">
        <f>IF(ISBLANK(C6), "", F6+I6+L6)</f>
        <v/>
      </c>
      <c r="N6" s="10">
        <f>IF(OR(ISBLANK(C6), M6=""), "", ROUND((M6/300)*100, 1))</f>
        <v/>
      </c>
      <c r="O6" s="7">
        <f>IF(OR(ISBLANK(C6), M6=""), "", IF(AND(F6&gt;=35, I6&gt;=35, L6&gt;=35), "PASS", "FAIL"))</f>
        <v/>
      </c>
      <c r="P6" s="7">
        <f>IF(OR(ISBLANK(C6), O6=""), "", IF(O6="FAIL", "F", IF(N6&gt;=90, "A+", IF(N6&gt;=80, "A", IF(N6&gt;=70, "B", IF(N6&gt;=50, "C", "D"))))))</f>
        <v/>
      </c>
      <c r="Q6" s="7">
        <f>IF(OR(ISBLANK(C6), M6=""), "", RANK(M6, $M$6:$M$30))</f>
        <v/>
      </c>
    </row>
    <row r="7">
      <c r="A7" s="12" t="inlineStr"/>
      <c r="B7" s="12" t="inlineStr"/>
      <c r="C7" s="13" t="inlineStr"/>
      <c r="D7" s="12" t="n"/>
      <c r="E7" s="12" t="n"/>
      <c r="F7" s="14">
        <f>IF(ISBLANK(C7), "", D7+E7)</f>
        <v/>
      </c>
      <c r="G7" s="12" t="n"/>
      <c r="H7" s="12" t="n"/>
      <c r="I7" s="14">
        <f>IF(ISBLANK(C7), "", G7+H7)</f>
        <v/>
      </c>
      <c r="J7" s="12" t="n"/>
      <c r="K7" s="12" t="n"/>
      <c r="L7" s="14">
        <f>IF(ISBLANK(C7), "", J7+K7)</f>
        <v/>
      </c>
      <c r="M7" s="25">
        <f>IF(ISBLANK(C7), "", F7+I7+L7)</f>
        <v/>
      </c>
      <c r="N7" s="17">
        <f>IF(OR(ISBLANK(C7), M7=""), "", ROUND((M7/300)*100, 1))</f>
        <v/>
      </c>
      <c r="O7" s="14">
        <f>IF(OR(ISBLANK(C7), M7=""), "", IF(AND(F7&gt;=35, I7&gt;=35, L7&gt;=35), "PASS", "FAIL"))</f>
        <v/>
      </c>
      <c r="P7" s="14">
        <f>IF(OR(ISBLANK(C7), O7=""), "", IF(O7="FAIL", "F", IF(N7&gt;=90, "A+", IF(N7&gt;=80, "A", IF(N7&gt;=70, "B", IF(N7&gt;=50, "C", "D"))))))</f>
        <v/>
      </c>
      <c r="Q7" s="14">
        <f>IF(OR(ISBLANK(C7), M7=""), "", RANK(M7, $M$6:$M$30))</f>
        <v/>
      </c>
    </row>
    <row r="8">
      <c r="A8" s="5" t="inlineStr"/>
      <c r="B8" s="5" t="inlineStr"/>
      <c r="C8" s="6" t="inlineStr"/>
      <c r="D8" s="5" t="n"/>
      <c r="E8" s="5" t="n"/>
      <c r="F8" s="7">
        <f>IF(ISBLANK(C8), "", D8+E8)</f>
        <v/>
      </c>
      <c r="G8" s="5" t="n"/>
      <c r="H8" s="5" t="n"/>
      <c r="I8" s="7">
        <f>IF(ISBLANK(C8), "", G8+H8)</f>
        <v/>
      </c>
      <c r="J8" s="5" t="n"/>
      <c r="K8" s="5" t="n"/>
      <c r="L8" s="7">
        <f>IF(ISBLANK(C8), "", J8+K8)</f>
        <v/>
      </c>
      <c r="M8" s="24">
        <f>IF(ISBLANK(C8), "", F8+I8+L8)</f>
        <v/>
      </c>
      <c r="N8" s="10">
        <f>IF(OR(ISBLANK(C8), M8=""), "", ROUND((M8/300)*100, 1))</f>
        <v/>
      </c>
      <c r="O8" s="7">
        <f>IF(OR(ISBLANK(C8), M8=""), "", IF(AND(F8&gt;=35, I8&gt;=35, L8&gt;=35), "PASS", "FAIL"))</f>
        <v/>
      </c>
      <c r="P8" s="7">
        <f>IF(OR(ISBLANK(C8), O8=""), "", IF(O8="FAIL", "F", IF(N8&gt;=90, "A+", IF(N8&gt;=80, "A", IF(N8&gt;=70, "B", IF(N8&gt;=50, "C", "D"))))))</f>
        <v/>
      </c>
      <c r="Q8" s="7">
        <f>IF(OR(ISBLANK(C8), M8=""), "", RANK(M8, $M$6:$M$30))</f>
        <v/>
      </c>
    </row>
    <row r="9">
      <c r="A9" s="12" t="inlineStr"/>
      <c r="B9" s="12" t="inlineStr"/>
      <c r="C9" s="13" t="inlineStr"/>
      <c r="D9" s="12" t="n"/>
      <c r="E9" s="12" t="n"/>
      <c r="F9" s="14">
        <f>IF(ISBLANK(C9), "", D9+E9)</f>
        <v/>
      </c>
      <c r="G9" s="12" t="n"/>
      <c r="H9" s="12" t="n"/>
      <c r="I9" s="14">
        <f>IF(ISBLANK(C9), "", G9+H9)</f>
        <v/>
      </c>
      <c r="J9" s="12" t="n"/>
      <c r="K9" s="12" t="n"/>
      <c r="L9" s="14">
        <f>IF(ISBLANK(C9), "", J9+K9)</f>
        <v/>
      </c>
      <c r="M9" s="25">
        <f>IF(ISBLANK(C9), "", F9+I9+L9)</f>
        <v/>
      </c>
      <c r="N9" s="17">
        <f>IF(OR(ISBLANK(C9), M9=""), "", ROUND((M9/300)*100, 1))</f>
        <v/>
      </c>
      <c r="O9" s="14">
        <f>IF(OR(ISBLANK(C9), M9=""), "", IF(AND(F9&gt;=35, I9&gt;=35, L9&gt;=35), "PASS", "FAIL"))</f>
        <v/>
      </c>
      <c r="P9" s="14">
        <f>IF(OR(ISBLANK(C9), O9=""), "", IF(O9="FAIL", "F", IF(N9&gt;=90, "A+", IF(N9&gt;=80, "A", IF(N9&gt;=70, "B", IF(N9&gt;=50, "C", "D"))))))</f>
        <v/>
      </c>
      <c r="Q9" s="14">
        <f>IF(OR(ISBLANK(C9), M9=""), "", RANK(M9, $M$6:$M$30))</f>
        <v/>
      </c>
    </row>
    <row r="10">
      <c r="A10" s="5" t="inlineStr"/>
      <c r="B10" s="5" t="inlineStr"/>
      <c r="C10" s="6" t="inlineStr"/>
      <c r="D10" s="5" t="n"/>
      <c r="E10" s="5" t="n"/>
      <c r="F10" s="7">
        <f>IF(ISBLANK(C10), "", D10+E10)</f>
        <v/>
      </c>
      <c r="G10" s="5" t="n"/>
      <c r="H10" s="5" t="n"/>
      <c r="I10" s="7">
        <f>IF(ISBLANK(C10), "", G10+H10)</f>
        <v/>
      </c>
      <c r="J10" s="5" t="n"/>
      <c r="K10" s="5" t="n"/>
      <c r="L10" s="7">
        <f>IF(ISBLANK(C10), "", J10+K10)</f>
        <v/>
      </c>
      <c r="M10" s="24">
        <f>IF(ISBLANK(C10), "", F10+I10+L10)</f>
        <v/>
      </c>
      <c r="N10" s="10">
        <f>IF(OR(ISBLANK(C10), M10=""), "", ROUND((M10/300)*100, 1))</f>
        <v/>
      </c>
      <c r="O10" s="7">
        <f>IF(OR(ISBLANK(C10), M10=""), "", IF(AND(F10&gt;=35, I10&gt;=35, L10&gt;=35), "PASS", "FAIL"))</f>
        <v/>
      </c>
      <c r="P10" s="7">
        <f>IF(OR(ISBLANK(C10), O10=""), "", IF(O10="FAIL", "F", IF(N10&gt;=90, "A+", IF(N10&gt;=80, "A", IF(N10&gt;=70, "B", IF(N10&gt;=50, "C", "D"))))))</f>
        <v/>
      </c>
      <c r="Q10" s="7">
        <f>IF(OR(ISBLANK(C10), M10=""), "", RANK(M10, $M$6:$M$30))</f>
        <v/>
      </c>
    </row>
    <row r="11">
      <c r="A11" s="12" t="inlineStr"/>
      <c r="B11" s="12" t="inlineStr"/>
      <c r="C11" s="13" t="inlineStr"/>
      <c r="D11" s="12" t="n"/>
      <c r="E11" s="12" t="n"/>
      <c r="F11" s="14">
        <f>IF(ISBLANK(C11), "", D11+E11)</f>
        <v/>
      </c>
      <c r="G11" s="12" t="n"/>
      <c r="H11" s="12" t="n"/>
      <c r="I11" s="14">
        <f>IF(ISBLANK(C11), "", G11+H11)</f>
        <v/>
      </c>
      <c r="J11" s="12" t="n"/>
      <c r="K11" s="12" t="n"/>
      <c r="L11" s="14">
        <f>IF(ISBLANK(C11), "", J11+K11)</f>
        <v/>
      </c>
      <c r="M11" s="25">
        <f>IF(ISBLANK(C11), "", F11+I11+L11)</f>
        <v/>
      </c>
      <c r="N11" s="17">
        <f>IF(OR(ISBLANK(C11), M11=""), "", ROUND((M11/300)*100, 1))</f>
        <v/>
      </c>
      <c r="O11" s="14">
        <f>IF(OR(ISBLANK(C11), M11=""), "", IF(AND(F11&gt;=35, I11&gt;=35, L11&gt;=35), "PASS", "FAIL"))</f>
        <v/>
      </c>
      <c r="P11" s="14">
        <f>IF(OR(ISBLANK(C11), O11=""), "", IF(O11="FAIL", "F", IF(N11&gt;=90, "A+", IF(N11&gt;=80, "A", IF(N11&gt;=70, "B", IF(N11&gt;=50, "C", "D"))))))</f>
        <v/>
      </c>
      <c r="Q11" s="14">
        <f>IF(OR(ISBLANK(C11), M11=""), "", RANK(M11, $M$6:$M$30))</f>
        <v/>
      </c>
    </row>
    <row r="12">
      <c r="A12" s="5" t="inlineStr"/>
      <c r="B12" s="5" t="inlineStr"/>
      <c r="C12" s="6" t="inlineStr"/>
      <c r="D12" s="5" t="n"/>
      <c r="E12" s="5" t="n"/>
      <c r="F12" s="7">
        <f>IF(ISBLANK(C12), "", D12+E12)</f>
        <v/>
      </c>
      <c r="G12" s="5" t="n"/>
      <c r="H12" s="5" t="n"/>
      <c r="I12" s="7">
        <f>IF(ISBLANK(C12), "", G12+H12)</f>
        <v/>
      </c>
      <c r="J12" s="5" t="n"/>
      <c r="K12" s="5" t="n"/>
      <c r="L12" s="7">
        <f>IF(ISBLANK(C12), "", J12+K12)</f>
        <v/>
      </c>
      <c r="M12" s="24">
        <f>IF(ISBLANK(C12), "", F12+I12+L12)</f>
        <v/>
      </c>
      <c r="N12" s="10">
        <f>IF(OR(ISBLANK(C12), M12=""), "", ROUND((M12/300)*100, 1))</f>
        <v/>
      </c>
      <c r="O12" s="7">
        <f>IF(OR(ISBLANK(C12), M12=""), "", IF(AND(F12&gt;=35, I12&gt;=35, L12&gt;=35), "PASS", "FAIL"))</f>
        <v/>
      </c>
      <c r="P12" s="7">
        <f>IF(OR(ISBLANK(C12), O12=""), "", IF(O12="FAIL", "F", IF(N12&gt;=90, "A+", IF(N12&gt;=80, "A", IF(N12&gt;=70, "B", IF(N12&gt;=50, "C", "D"))))))</f>
        <v/>
      </c>
      <c r="Q12" s="7">
        <f>IF(OR(ISBLANK(C12), M12=""), "", RANK(M12, $M$6:$M$30))</f>
        <v/>
      </c>
    </row>
    <row r="13">
      <c r="A13" s="12" t="inlineStr"/>
      <c r="B13" s="12" t="inlineStr"/>
      <c r="C13" s="13" t="inlineStr"/>
      <c r="D13" s="12" t="n"/>
      <c r="E13" s="12" t="n"/>
      <c r="F13" s="14">
        <f>IF(ISBLANK(C13), "", D13+E13)</f>
        <v/>
      </c>
      <c r="G13" s="12" t="n"/>
      <c r="H13" s="12" t="n"/>
      <c r="I13" s="14">
        <f>IF(ISBLANK(C13), "", G13+H13)</f>
        <v/>
      </c>
      <c r="J13" s="12" t="n"/>
      <c r="K13" s="12" t="n"/>
      <c r="L13" s="14">
        <f>IF(ISBLANK(C13), "", J13+K13)</f>
        <v/>
      </c>
      <c r="M13" s="25">
        <f>IF(ISBLANK(C13), "", F13+I13+L13)</f>
        <v/>
      </c>
      <c r="N13" s="17">
        <f>IF(OR(ISBLANK(C13), M13=""), "", ROUND((M13/300)*100, 1))</f>
        <v/>
      </c>
      <c r="O13" s="14">
        <f>IF(OR(ISBLANK(C13), M13=""), "", IF(AND(F13&gt;=35, I13&gt;=35, L13&gt;=35), "PASS", "FAIL"))</f>
        <v/>
      </c>
      <c r="P13" s="14">
        <f>IF(OR(ISBLANK(C13), O13=""), "", IF(O13="FAIL", "F", IF(N13&gt;=90, "A+", IF(N13&gt;=80, "A", IF(N13&gt;=70, "B", IF(N13&gt;=50, "C", "D"))))))</f>
        <v/>
      </c>
      <c r="Q13" s="14">
        <f>IF(OR(ISBLANK(C13), M13=""), "", RANK(M13, $M$6:$M$30))</f>
        <v/>
      </c>
    </row>
    <row r="14">
      <c r="A14" s="5" t="inlineStr"/>
      <c r="B14" s="5" t="inlineStr"/>
      <c r="C14" s="6" t="inlineStr"/>
      <c r="D14" s="5" t="n"/>
      <c r="E14" s="5" t="n"/>
      <c r="F14" s="7">
        <f>IF(ISBLANK(C14), "", D14+E14)</f>
        <v/>
      </c>
      <c r="G14" s="5" t="n"/>
      <c r="H14" s="5" t="n"/>
      <c r="I14" s="7">
        <f>IF(ISBLANK(C14), "", G14+H14)</f>
        <v/>
      </c>
      <c r="J14" s="5" t="n"/>
      <c r="K14" s="5" t="n"/>
      <c r="L14" s="7">
        <f>IF(ISBLANK(C14), "", J14+K14)</f>
        <v/>
      </c>
      <c r="M14" s="24">
        <f>IF(ISBLANK(C14), "", F14+I14+L14)</f>
        <v/>
      </c>
      <c r="N14" s="10">
        <f>IF(OR(ISBLANK(C14), M14=""), "", ROUND((M14/300)*100, 1))</f>
        <v/>
      </c>
      <c r="O14" s="7">
        <f>IF(OR(ISBLANK(C14), M14=""), "", IF(AND(F14&gt;=35, I14&gt;=35, L14&gt;=35), "PASS", "FAIL"))</f>
        <v/>
      </c>
      <c r="P14" s="7">
        <f>IF(OR(ISBLANK(C14), O14=""), "", IF(O14="FAIL", "F", IF(N14&gt;=90, "A+", IF(N14&gt;=80, "A", IF(N14&gt;=70, "B", IF(N14&gt;=50, "C", "D"))))))</f>
        <v/>
      </c>
      <c r="Q14" s="7">
        <f>IF(OR(ISBLANK(C14), M14=""), "", RANK(M14, $M$6:$M$30))</f>
        <v/>
      </c>
    </row>
    <row r="15">
      <c r="A15" s="12" t="inlineStr"/>
      <c r="B15" s="12" t="inlineStr"/>
      <c r="C15" s="13" t="inlineStr"/>
      <c r="D15" s="12" t="n"/>
      <c r="E15" s="12" t="n"/>
      <c r="F15" s="14">
        <f>IF(ISBLANK(C15), "", D15+E15)</f>
        <v/>
      </c>
      <c r="G15" s="12" t="n"/>
      <c r="H15" s="12" t="n"/>
      <c r="I15" s="14">
        <f>IF(ISBLANK(C15), "", G15+H15)</f>
        <v/>
      </c>
      <c r="J15" s="12" t="n"/>
      <c r="K15" s="12" t="n"/>
      <c r="L15" s="14">
        <f>IF(ISBLANK(C15), "", J15+K15)</f>
        <v/>
      </c>
      <c r="M15" s="25">
        <f>IF(ISBLANK(C15), "", F15+I15+L15)</f>
        <v/>
      </c>
      <c r="N15" s="17">
        <f>IF(OR(ISBLANK(C15), M15=""), "", ROUND((M15/300)*100, 1))</f>
        <v/>
      </c>
      <c r="O15" s="14">
        <f>IF(OR(ISBLANK(C15), M15=""), "", IF(AND(F15&gt;=35, I15&gt;=35, L15&gt;=35), "PASS", "FAIL"))</f>
        <v/>
      </c>
      <c r="P15" s="14">
        <f>IF(OR(ISBLANK(C15), O15=""), "", IF(O15="FAIL", "F", IF(N15&gt;=90, "A+", IF(N15&gt;=80, "A", IF(N15&gt;=70, "B", IF(N15&gt;=50, "C", "D"))))))</f>
        <v/>
      </c>
      <c r="Q15" s="14">
        <f>IF(OR(ISBLANK(C15), M15=""), "", RANK(M15, $M$6:$M$30))</f>
        <v/>
      </c>
    </row>
    <row r="16">
      <c r="A16" s="5" t="inlineStr"/>
      <c r="B16" s="5" t="inlineStr"/>
      <c r="C16" s="6" t="inlineStr"/>
      <c r="D16" s="5" t="n"/>
      <c r="E16" s="5" t="n"/>
      <c r="F16" s="7">
        <f>IF(ISBLANK(C16), "", D16+E16)</f>
        <v/>
      </c>
      <c r="G16" s="5" t="n"/>
      <c r="H16" s="5" t="n"/>
      <c r="I16" s="7">
        <f>IF(ISBLANK(C16), "", G16+H16)</f>
        <v/>
      </c>
      <c r="J16" s="5" t="n"/>
      <c r="K16" s="5" t="n"/>
      <c r="L16" s="7">
        <f>IF(ISBLANK(C16), "", J16+K16)</f>
        <v/>
      </c>
      <c r="M16" s="24">
        <f>IF(ISBLANK(C16), "", F16+I16+L16)</f>
        <v/>
      </c>
      <c r="N16" s="10">
        <f>IF(OR(ISBLANK(C16), M16=""), "", ROUND((M16/300)*100, 1))</f>
        <v/>
      </c>
      <c r="O16" s="7">
        <f>IF(OR(ISBLANK(C16), M16=""), "", IF(AND(F16&gt;=35, I16&gt;=35, L16&gt;=35), "PASS", "FAIL"))</f>
        <v/>
      </c>
      <c r="P16" s="7">
        <f>IF(OR(ISBLANK(C16), O16=""), "", IF(O16="FAIL", "F", IF(N16&gt;=90, "A+", IF(N16&gt;=80, "A", IF(N16&gt;=70, "B", IF(N16&gt;=50, "C", "D"))))))</f>
        <v/>
      </c>
      <c r="Q16" s="7">
        <f>IF(OR(ISBLANK(C16), M16=""), "", RANK(M16, $M$6:$M$30))</f>
        <v/>
      </c>
    </row>
    <row r="17">
      <c r="A17" s="12" t="inlineStr"/>
      <c r="B17" s="12" t="inlineStr"/>
      <c r="C17" s="13" t="inlineStr"/>
      <c r="D17" s="12" t="n"/>
      <c r="E17" s="12" t="n"/>
      <c r="F17" s="14">
        <f>IF(ISBLANK(C17), "", D17+E17)</f>
        <v/>
      </c>
      <c r="G17" s="12" t="n"/>
      <c r="H17" s="12" t="n"/>
      <c r="I17" s="14">
        <f>IF(ISBLANK(C17), "", G17+H17)</f>
        <v/>
      </c>
      <c r="J17" s="12" t="n"/>
      <c r="K17" s="12" t="n"/>
      <c r="L17" s="14">
        <f>IF(ISBLANK(C17), "", J17+K17)</f>
        <v/>
      </c>
      <c r="M17" s="25">
        <f>IF(ISBLANK(C17), "", F17+I17+L17)</f>
        <v/>
      </c>
      <c r="N17" s="17">
        <f>IF(OR(ISBLANK(C17), M17=""), "", ROUND((M17/300)*100, 1))</f>
        <v/>
      </c>
      <c r="O17" s="14">
        <f>IF(OR(ISBLANK(C17), M17=""), "", IF(AND(F17&gt;=35, I17&gt;=35, L17&gt;=35), "PASS", "FAIL"))</f>
        <v/>
      </c>
      <c r="P17" s="14">
        <f>IF(OR(ISBLANK(C17), O17=""), "", IF(O17="FAIL", "F", IF(N17&gt;=90, "A+", IF(N17&gt;=80, "A", IF(N17&gt;=70, "B", IF(N17&gt;=50, "C", "D"))))))</f>
        <v/>
      </c>
      <c r="Q17" s="14">
        <f>IF(OR(ISBLANK(C17), M17=""), "", RANK(M17, $M$6:$M$30))</f>
        <v/>
      </c>
    </row>
    <row r="18">
      <c r="A18" s="5" t="inlineStr"/>
      <c r="B18" s="5" t="inlineStr"/>
      <c r="C18" s="6" t="inlineStr"/>
      <c r="D18" s="5" t="n"/>
      <c r="E18" s="5" t="n"/>
      <c r="F18" s="7">
        <f>IF(ISBLANK(C18), "", D18+E18)</f>
        <v/>
      </c>
      <c r="G18" s="5" t="n"/>
      <c r="H18" s="5" t="n"/>
      <c r="I18" s="7">
        <f>IF(ISBLANK(C18), "", G18+H18)</f>
        <v/>
      </c>
      <c r="J18" s="5" t="n"/>
      <c r="K18" s="5" t="n"/>
      <c r="L18" s="7">
        <f>IF(ISBLANK(C18), "", J18+K18)</f>
        <v/>
      </c>
      <c r="M18" s="24">
        <f>IF(ISBLANK(C18), "", F18+I18+L18)</f>
        <v/>
      </c>
      <c r="N18" s="10">
        <f>IF(OR(ISBLANK(C18), M18=""), "", ROUND((M18/300)*100, 1))</f>
        <v/>
      </c>
      <c r="O18" s="7">
        <f>IF(OR(ISBLANK(C18), M18=""), "", IF(AND(F18&gt;=35, I18&gt;=35, L18&gt;=35), "PASS", "FAIL"))</f>
        <v/>
      </c>
      <c r="P18" s="7">
        <f>IF(OR(ISBLANK(C18), O18=""), "", IF(O18="FAIL", "F", IF(N18&gt;=90, "A+", IF(N18&gt;=80, "A", IF(N18&gt;=70, "B", IF(N18&gt;=50, "C", "D"))))))</f>
        <v/>
      </c>
      <c r="Q18" s="7">
        <f>IF(OR(ISBLANK(C18), M18=""), "", RANK(M18, $M$6:$M$30))</f>
        <v/>
      </c>
    </row>
    <row r="19">
      <c r="A19" s="12" t="inlineStr"/>
      <c r="B19" s="12" t="inlineStr"/>
      <c r="C19" s="13" t="inlineStr"/>
      <c r="D19" s="12" t="n"/>
      <c r="E19" s="12" t="n"/>
      <c r="F19" s="14">
        <f>IF(ISBLANK(C19), "", D19+E19)</f>
        <v/>
      </c>
      <c r="G19" s="12" t="n"/>
      <c r="H19" s="12" t="n"/>
      <c r="I19" s="14">
        <f>IF(ISBLANK(C19), "", G19+H19)</f>
        <v/>
      </c>
      <c r="J19" s="12" t="n"/>
      <c r="K19" s="12" t="n"/>
      <c r="L19" s="14">
        <f>IF(ISBLANK(C19), "", J19+K19)</f>
        <v/>
      </c>
      <c r="M19" s="25">
        <f>IF(ISBLANK(C19), "", F19+I19+L19)</f>
        <v/>
      </c>
      <c r="N19" s="17">
        <f>IF(OR(ISBLANK(C19), M19=""), "", ROUND((M19/300)*100, 1))</f>
        <v/>
      </c>
      <c r="O19" s="14">
        <f>IF(OR(ISBLANK(C19), M19=""), "", IF(AND(F19&gt;=35, I19&gt;=35, L19&gt;=35), "PASS", "FAIL"))</f>
        <v/>
      </c>
      <c r="P19" s="14">
        <f>IF(OR(ISBLANK(C19), O19=""), "", IF(O19="FAIL", "F", IF(N19&gt;=90, "A+", IF(N19&gt;=80, "A", IF(N19&gt;=70, "B", IF(N19&gt;=50, "C", "D"))))))</f>
        <v/>
      </c>
      <c r="Q19" s="14">
        <f>IF(OR(ISBLANK(C19), M19=""), "", RANK(M19, $M$6:$M$30))</f>
        <v/>
      </c>
    </row>
    <row r="20">
      <c r="A20" s="5" t="inlineStr"/>
      <c r="B20" s="5" t="inlineStr"/>
      <c r="C20" s="6" t="inlineStr"/>
      <c r="D20" s="5" t="n"/>
      <c r="E20" s="5" t="n"/>
      <c r="F20" s="7">
        <f>IF(ISBLANK(C20), "", D20+E20)</f>
        <v/>
      </c>
      <c r="G20" s="5" t="n"/>
      <c r="H20" s="5" t="n"/>
      <c r="I20" s="7">
        <f>IF(ISBLANK(C20), "", G20+H20)</f>
        <v/>
      </c>
      <c r="J20" s="5" t="n"/>
      <c r="K20" s="5" t="n"/>
      <c r="L20" s="7">
        <f>IF(ISBLANK(C20), "", J20+K20)</f>
        <v/>
      </c>
      <c r="M20" s="24">
        <f>IF(ISBLANK(C20), "", F20+I20+L20)</f>
        <v/>
      </c>
      <c r="N20" s="10">
        <f>IF(OR(ISBLANK(C20), M20=""), "", ROUND((M20/300)*100, 1))</f>
        <v/>
      </c>
      <c r="O20" s="7">
        <f>IF(OR(ISBLANK(C20), M20=""), "", IF(AND(F20&gt;=35, I20&gt;=35, L20&gt;=35), "PASS", "FAIL"))</f>
        <v/>
      </c>
      <c r="P20" s="7">
        <f>IF(OR(ISBLANK(C20), O20=""), "", IF(O20="FAIL", "F", IF(N20&gt;=90, "A+", IF(N20&gt;=80, "A", IF(N20&gt;=70, "B", IF(N20&gt;=50, "C", "D"))))))</f>
        <v/>
      </c>
      <c r="Q20" s="7">
        <f>IF(OR(ISBLANK(C20), M20=""), "", RANK(M20, $M$6:$M$30))</f>
        <v/>
      </c>
    </row>
    <row r="21">
      <c r="A21" s="12" t="inlineStr"/>
      <c r="B21" s="12" t="inlineStr"/>
      <c r="C21" s="13" t="inlineStr"/>
      <c r="D21" s="12" t="n"/>
      <c r="E21" s="12" t="n"/>
      <c r="F21" s="14">
        <f>IF(ISBLANK(C21), "", D21+E21)</f>
        <v/>
      </c>
      <c r="G21" s="12" t="n"/>
      <c r="H21" s="12" t="n"/>
      <c r="I21" s="14">
        <f>IF(ISBLANK(C21), "", G21+H21)</f>
        <v/>
      </c>
      <c r="J21" s="12" t="n"/>
      <c r="K21" s="12" t="n"/>
      <c r="L21" s="14">
        <f>IF(ISBLANK(C21), "", J21+K21)</f>
        <v/>
      </c>
      <c r="M21" s="25">
        <f>IF(ISBLANK(C21), "", F21+I21+L21)</f>
        <v/>
      </c>
      <c r="N21" s="17">
        <f>IF(OR(ISBLANK(C21), M21=""), "", ROUND((M21/300)*100, 1))</f>
        <v/>
      </c>
      <c r="O21" s="14">
        <f>IF(OR(ISBLANK(C21), M21=""), "", IF(AND(F21&gt;=35, I21&gt;=35, L21&gt;=35), "PASS", "FAIL"))</f>
        <v/>
      </c>
      <c r="P21" s="14">
        <f>IF(OR(ISBLANK(C21), O21=""), "", IF(O21="FAIL", "F", IF(N21&gt;=90, "A+", IF(N21&gt;=80, "A", IF(N21&gt;=70, "B", IF(N21&gt;=50, "C", "D"))))))</f>
        <v/>
      </c>
      <c r="Q21" s="14">
        <f>IF(OR(ISBLANK(C21), M21=""), "", RANK(M21, $M$6:$M$30))</f>
        <v/>
      </c>
    </row>
    <row r="22">
      <c r="A22" s="5" t="inlineStr"/>
      <c r="B22" s="5" t="inlineStr"/>
      <c r="C22" s="6" t="inlineStr"/>
      <c r="D22" s="5" t="n"/>
      <c r="E22" s="5" t="n"/>
      <c r="F22" s="7">
        <f>IF(ISBLANK(C22), "", D22+E22)</f>
        <v/>
      </c>
      <c r="G22" s="5" t="n"/>
      <c r="H22" s="5" t="n"/>
      <c r="I22" s="7">
        <f>IF(ISBLANK(C22), "", G22+H22)</f>
        <v/>
      </c>
      <c r="J22" s="5" t="n"/>
      <c r="K22" s="5" t="n"/>
      <c r="L22" s="7">
        <f>IF(ISBLANK(C22), "", J22+K22)</f>
        <v/>
      </c>
      <c r="M22" s="24">
        <f>IF(ISBLANK(C22), "", F22+I22+L22)</f>
        <v/>
      </c>
      <c r="N22" s="10">
        <f>IF(OR(ISBLANK(C22), M22=""), "", ROUND((M22/300)*100, 1))</f>
        <v/>
      </c>
      <c r="O22" s="7">
        <f>IF(OR(ISBLANK(C22), M22=""), "", IF(AND(F22&gt;=35, I22&gt;=35, L22&gt;=35), "PASS", "FAIL"))</f>
        <v/>
      </c>
      <c r="P22" s="7">
        <f>IF(OR(ISBLANK(C22), O22=""), "", IF(O22="FAIL", "F", IF(N22&gt;=90, "A+", IF(N22&gt;=80, "A", IF(N22&gt;=70, "B", IF(N22&gt;=50, "C", "D"))))))</f>
        <v/>
      </c>
      <c r="Q22" s="7">
        <f>IF(OR(ISBLANK(C22), M22=""), "", RANK(M22, $M$6:$M$30))</f>
        <v/>
      </c>
    </row>
    <row r="23">
      <c r="A23" s="12" t="inlineStr"/>
      <c r="B23" s="12" t="inlineStr"/>
      <c r="C23" s="13" t="inlineStr"/>
      <c r="D23" s="12" t="n"/>
      <c r="E23" s="12" t="n"/>
      <c r="F23" s="14">
        <f>IF(ISBLANK(C23), "", D23+E23)</f>
        <v/>
      </c>
      <c r="G23" s="12" t="n"/>
      <c r="H23" s="12" t="n"/>
      <c r="I23" s="14">
        <f>IF(ISBLANK(C23), "", G23+H23)</f>
        <v/>
      </c>
      <c r="J23" s="12" t="n"/>
      <c r="K23" s="12" t="n"/>
      <c r="L23" s="14">
        <f>IF(ISBLANK(C23), "", J23+K23)</f>
        <v/>
      </c>
      <c r="M23" s="25">
        <f>IF(ISBLANK(C23), "", F23+I23+L23)</f>
        <v/>
      </c>
      <c r="N23" s="17">
        <f>IF(OR(ISBLANK(C23), M23=""), "", ROUND((M23/300)*100, 1))</f>
        <v/>
      </c>
      <c r="O23" s="14">
        <f>IF(OR(ISBLANK(C23), M23=""), "", IF(AND(F23&gt;=35, I23&gt;=35, L23&gt;=35), "PASS", "FAIL"))</f>
        <v/>
      </c>
      <c r="P23" s="14">
        <f>IF(OR(ISBLANK(C23), O23=""), "", IF(O23="FAIL", "F", IF(N23&gt;=90, "A+", IF(N23&gt;=80, "A", IF(N23&gt;=70, "B", IF(N23&gt;=50, "C", "D"))))))</f>
        <v/>
      </c>
      <c r="Q23" s="14">
        <f>IF(OR(ISBLANK(C23), M23=""), "", RANK(M23, $M$6:$M$30))</f>
        <v/>
      </c>
    </row>
    <row r="24">
      <c r="A24" s="5" t="inlineStr"/>
      <c r="B24" s="5" t="inlineStr"/>
      <c r="C24" s="6" t="inlineStr"/>
      <c r="D24" s="5" t="n"/>
      <c r="E24" s="5" t="n"/>
      <c r="F24" s="7">
        <f>IF(ISBLANK(C24), "", D24+E24)</f>
        <v/>
      </c>
      <c r="G24" s="5" t="n"/>
      <c r="H24" s="5" t="n"/>
      <c r="I24" s="7">
        <f>IF(ISBLANK(C24), "", G24+H24)</f>
        <v/>
      </c>
      <c r="J24" s="5" t="n"/>
      <c r="K24" s="5" t="n"/>
      <c r="L24" s="7">
        <f>IF(ISBLANK(C24), "", J24+K24)</f>
        <v/>
      </c>
      <c r="M24" s="24">
        <f>IF(ISBLANK(C24), "", F24+I24+L24)</f>
        <v/>
      </c>
      <c r="N24" s="10">
        <f>IF(OR(ISBLANK(C24), M24=""), "", ROUND((M24/300)*100, 1))</f>
        <v/>
      </c>
      <c r="O24" s="7">
        <f>IF(OR(ISBLANK(C24), M24=""), "", IF(AND(F24&gt;=35, I24&gt;=35, L24&gt;=35), "PASS", "FAIL"))</f>
        <v/>
      </c>
      <c r="P24" s="7">
        <f>IF(OR(ISBLANK(C24), O24=""), "", IF(O24="FAIL", "F", IF(N24&gt;=90, "A+", IF(N24&gt;=80, "A", IF(N24&gt;=70, "B", IF(N24&gt;=50, "C", "D"))))))</f>
        <v/>
      </c>
      <c r="Q24" s="7">
        <f>IF(OR(ISBLANK(C24), M24=""), "", RANK(M24, $M$6:$M$30))</f>
        <v/>
      </c>
    </row>
    <row r="25">
      <c r="A25" s="12" t="inlineStr"/>
      <c r="B25" s="12" t="inlineStr"/>
      <c r="C25" s="13" t="inlineStr"/>
      <c r="D25" s="12" t="n"/>
      <c r="E25" s="12" t="n"/>
      <c r="F25" s="14">
        <f>IF(ISBLANK(C25), "", D25+E25)</f>
        <v/>
      </c>
      <c r="G25" s="12" t="n"/>
      <c r="H25" s="12" t="n"/>
      <c r="I25" s="14">
        <f>IF(ISBLANK(C25), "", G25+H25)</f>
        <v/>
      </c>
      <c r="J25" s="12" t="n"/>
      <c r="K25" s="12" t="n"/>
      <c r="L25" s="14">
        <f>IF(ISBLANK(C25), "", J25+K25)</f>
        <v/>
      </c>
      <c r="M25" s="25">
        <f>IF(ISBLANK(C25), "", F25+I25+L25)</f>
        <v/>
      </c>
      <c r="N25" s="17">
        <f>IF(OR(ISBLANK(C25), M25=""), "", ROUND((M25/300)*100, 1))</f>
        <v/>
      </c>
      <c r="O25" s="14">
        <f>IF(OR(ISBLANK(C25), M25=""), "", IF(AND(F25&gt;=35, I25&gt;=35, L25&gt;=35), "PASS", "FAIL"))</f>
        <v/>
      </c>
      <c r="P25" s="14">
        <f>IF(OR(ISBLANK(C25), O25=""), "", IF(O25="FAIL", "F", IF(N25&gt;=90, "A+", IF(N25&gt;=80, "A", IF(N25&gt;=70, "B", IF(N25&gt;=50, "C", "D"))))))</f>
        <v/>
      </c>
      <c r="Q25" s="14">
        <f>IF(OR(ISBLANK(C25), M25=""), "", RANK(M25, $M$6:$M$30))</f>
        <v/>
      </c>
    </row>
    <row r="26">
      <c r="A26" s="5" t="inlineStr"/>
      <c r="B26" s="5" t="inlineStr"/>
      <c r="C26" s="6" t="inlineStr"/>
      <c r="D26" s="5" t="n"/>
      <c r="E26" s="5" t="n"/>
      <c r="F26" s="7">
        <f>IF(ISBLANK(C26), "", D26+E26)</f>
        <v/>
      </c>
      <c r="G26" s="5" t="n"/>
      <c r="H26" s="5" t="n"/>
      <c r="I26" s="7">
        <f>IF(ISBLANK(C26), "", G26+H26)</f>
        <v/>
      </c>
      <c r="J26" s="5" t="n"/>
      <c r="K26" s="5" t="n"/>
      <c r="L26" s="7">
        <f>IF(ISBLANK(C26), "", J26+K26)</f>
        <v/>
      </c>
      <c r="M26" s="24">
        <f>IF(ISBLANK(C26), "", F26+I26+L26)</f>
        <v/>
      </c>
      <c r="N26" s="10">
        <f>IF(OR(ISBLANK(C26), M26=""), "", ROUND((M26/300)*100, 1))</f>
        <v/>
      </c>
      <c r="O26" s="7">
        <f>IF(OR(ISBLANK(C26), M26=""), "", IF(AND(F26&gt;=35, I26&gt;=35, L26&gt;=35), "PASS", "FAIL"))</f>
        <v/>
      </c>
      <c r="P26" s="7">
        <f>IF(OR(ISBLANK(C26), O26=""), "", IF(O26="FAIL", "F", IF(N26&gt;=90, "A+", IF(N26&gt;=80, "A", IF(N26&gt;=70, "B", IF(N26&gt;=50, "C", "D"))))))</f>
        <v/>
      </c>
      <c r="Q26" s="7">
        <f>IF(OR(ISBLANK(C26), M26=""), "", RANK(M26, $M$6:$M$30))</f>
        <v/>
      </c>
    </row>
    <row r="27">
      <c r="A27" s="12" t="inlineStr"/>
      <c r="B27" s="12" t="inlineStr"/>
      <c r="C27" s="13" t="inlineStr"/>
      <c r="D27" s="12" t="n"/>
      <c r="E27" s="12" t="n"/>
      <c r="F27" s="14">
        <f>IF(ISBLANK(C27), "", D27+E27)</f>
        <v/>
      </c>
      <c r="G27" s="12" t="n"/>
      <c r="H27" s="12" t="n"/>
      <c r="I27" s="14">
        <f>IF(ISBLANK(C27), "", G27+H27)</f>
        <v/>
      </c>
      <c r="J27" s="12" t="n"/>
      <c r="K27" s="12" t="n"/>
      <c r="L27" s="14">
        <f>IF(ISBLANK(C27), "", J27+K27)</f>
        <v/>
      </c>
      <c r="M27" s="25">
        <f>IF(ISBLANK(C27), "", F27+I27+L27)</f>
        <v/>
      </c>
      <c r="N27" s="17">
        <f>IF(OR(ISBLANK(C27), M27=""), "", ROUND((M27/300)*100, 1))</f>
        <v/>
      </c>
      <c r="O27" s="14">
        <f>IF(OR(ISBLANK(C27), M27=""), "", IF(AND(F27&gt;=35, I27&gt;=35, L27&gt;=35), "PASS", "FAIL"))</f>
        <v/>
      </c>
      <c r="P27" s="14">
        <f>IF(OR(ISBLANK(C27), O27=""), "", IF(O27="FAIL", "F", IF(N27&gt;=90, "A+", IF(N27&gt;=80, "A", IF(N27&gt;=70, "B", IF(N27&gt;=50, "C", "D"))))))</f>
        <v/>
      </c>
      <c r="Q27" s="14">
        <f>IF(OR(ISBLANK(C27), M27=""), "", RANK(M27, $M$6:$M$30))</f>
        <v/>
      </c>
    </row>
    <row r="28">
      <c r="A28" s="5" t="inlineStr"/>
      <c r="B28" s="5" t="inlineStr"/>
      <c r="C28" s="6" t="inlineStr"/>
      <c r="D28" s="5" t="n"/>
      <c r="E28" s="5" t="n"/>
      <c r="F28" s="7">
        <f>IF(ISBLANK(C28), "", D28+E28)</f>
        <v/>
      </c>
      <c r="G28" s="5" t="n"/>
      <c r="H28" s="5" t="n"/>
      <c r="I28" s="7">
        <f>IF(ISBLANK(C28), "", G28+H28)</f>
        <v/>
      </c>
      <c r="J28" s="5" t="n"/>
      <c r="K28" s="5" t="n"/>
      <c r="L28" s="7">
        <f>IF(ISBLANK(C28), "", J28+K28)</f>
        <v/>
      </c>
      <c r="M28" s="24">
        <f>IF(ISBLANK(C28), "", F28+I28+L28)</f>
        <v/>
      </c>
      <c r="N28" s="10">
        <f>IF(OR(ISBLANK(C28), M28=""), "", ROUND((M28/300)*100, 1))</f>
        <v/>
      </c>
      <c r="O28" s="7">
        <f>IF(OR(ISBLANK(C28), M28=""), "", IF(AND(F28&gt;=35, I28&gt;=35, L28&gt;=35), "PASS", "FAIL"))</f>
        <v/>
      </c>
      <c r="P28" s="7">
        <f>IF(OR(ISBLANK(C28), O28=""), "", IF(O28="FAIL", "F", IF(N28&gt;=90, "A+", IF(N28&gt;=80, "A", IF(N28&gt;=70, "B", IF(N28&gt;=50, "C", "D"))))))</f>
        <v/>
      </c>
      <c r="Q28" s="7">
        <f>IF(OR(ISBLANK(C28), M28=""), "", RANK(M28, $M$6:$M$30))</f>
        <v/>
      </c>
    </row>
    <row r="29">
      <c r="A29" s="12" t="inlineStr"/>
      <c r="B29" s="12" t="inlineStr"/>
      <c r="C29" s="13" t="inlineStr"/>
      <c r="D29" s="12" t="n"/>
      <c r="E29" s="12" t="n"/>
      <c r="F29" s="14">
        <f>IF(ISBLANK(C29), "", D29+E29)</f>
        <v/>
      </c>
      <c r="G29" s="12" t="n"/>
      <c r="H29" s="12" t="n"/>
      <c r="I29" s="14">
        <f>IF(ISBLANK(C29), "", G29+H29)</f>
        <v/>
      </c>
      <c r="J29" s="12" t="n"/>
      <c r="K29" s="12" t="n"/>
      <c r="L29" s="14">
        <f>IF(ISBLANK(C29), "", J29+K29)</f>
        <v/>
      </c>
      <c r="M29" s="25">
        <f>IF(ISBLANK(C29), "", F29+I29+L29)</f>
        <v/>
      </c>
      <c r="N29" s="17">
        <f>IF(OR(ISBLANK(C29), M29=""), "", ROUND((M29/300)*100, 1))</f>
        <v/>
      </c>
      <c r="O29" s="14">
        <f>IF(OR(ISBLANK(C29), M29=""), "", IF(AND(F29&gt;=35, I29&gt;=35, L29&gt;=35), "PASS", "FAIL"))</f>
        <v/>
      </c>
      <c r="P29" s="14">
        <f>IF(OR(ISBLANK(C29), O29=""), "", IF(O29="FAIL", "F", IF(N29&gt;=90, "A+", IF(N29&gt;=80, "A", IF(N29&gt;=70, "B", IF(N29&gt;=50, "C", "D"))))))</f>
        <v/>
      </c>
      <c r="Q29" s="14">
        <f>IF(OR(ISBLANK(C29), M29=""), "", RANK(M29, $M$6:$M$30))</f>
        <v/>
      </c>
    </row>
    <row r="30">
      <c r="A30" s="5" t="inlineStr"/>
      <c r="B30" s="5" t="inlineStr"/>
      <c r="C30" s="6" t="inlineStr"/>
      <c r="D30" s="5" t="n"/>
      <c r="E30" s="5" t="n"/>
      <c r="F30" s="7">
        <f>IF(ISBLANK(C30), "", D30+E30)</f>
        <v/>
      </c>
      <c r="G30" s="5" t="n"/>
      <c r="H30" s="5" t="n"/>
      <c r="I30" s="7">
        <f>IF(ISBLANK(C30), "", G30+H30)</f>
        <v/>
      </c>
      <c r="J30" s="5" t="n"/>
      <c r="K30" s="5" t="n"/>
      <c r="L30" s="7">
        <f>IF(ISBLANK(C30), "", J30+K30)</f>
        <v/>
      </c>
      <c r="M30" s="24">
        <f>IF(ISBLANK(C30), "", F30+I30+L30)</f>
        <v/>
      </c>
      <c r="N30" s="10">
        <f>IF(OR(ISBLANK(C30), M30=""), "", ROUND((M30/300)*100, 1))</f>
        <v/>
      </c>
      <c r="O30" s="7">
        <f>IF(OR(ISBLANK(C30), M30=""), "", IF(AND(F30&gt;=35, I30&gt;=35, L30&gt;=35), "PASS", "FAIL"))</f>
        <v/>
      </c>
      <c r="P30" s="7">
        <f>IF(OR(ISBLANK(C30), O30=""), "", IF(O30="FAIL", "F", IF(N30&gt;=90, "A+", IF(N30&gt;=80, "A", IF(N30&gt;=70, "B", IF(N30&gt;=50, "C", "D"))))))</f>
        <v/>
      </c>
      <c r="Q30" s="7">
        <f>IF(OR(ISBLANK(C30), M30=""), "", RANK(M30, $M$6:$M$30))</f>
        <v/>
      </c>
    </row>
    <row r="32">
      <c r="A32" t="inlineStr"/>
    </row>
    <row r="33">
      <c r="A33" s="26" t="inlineStr">
        <is>
          <t>CLASS AVERAGE</t>
        </is>
      </c>
      <c r="B33" s="27" t="n"/>
      <c r="C33" s="27" t="n"/>
      <c r="D33" s="28">
        <f>IF(COUNTA(C6:C30)&gt;0, ROUND(AVERAGE(F6:F30), 1), "-")</f>
        <v/>
      </c>
      <c r="E33" s="27" t="n"/>
      <c r="F33" s="27" t="n"/>
      <c r="G33" s="28">
        <f>IF(COUNTA(C6:C30)&gt;0, ROUND(AVERAGE(I6:I30), 1), "-")</f>
        <v/>
      </c>
      <c r="H33" s="27" t="n"/>
      <c r="I33" s="27" t="n"/>
      <c r="J33" s="28">
        <f>IF(COUNTA(C6:C30)&gt;0, ROUND(AVERAGE(L6:L30), 1), "-")</f>
        <v/>
      </c>
      <c r="K33" s="27" t="n"/>
      <c r="L33" s="27" t="n"/>
      <c r="M33" s="29">
        <f>IF(COUNTA(C6:C30)&gt;0, ROUND(AVERAGE(M6:M30), 1), "-")</f>
        <v/>
      </c>
      <c r="N33" s="30">
        <f>IF(COUNTA(C6:C30)&gt;0, ROUND(AVERAGE(N6:N30), 1), "-")</f>
        <v/>
      </c>
      <c r="O33" s="27" t="n"/>
      <c r="P33" s="27" t="n"/>
      <c r="Q33" s="27" t="n"/>
    </row>
    <row r="34">
      <c r="A34" s="26" t="inlineStr">
        <is>
          <t>HIGHEST MARKS</t>
        </is>
      </c>
      <c r="B34" s="27" t="n"/>
      <c r="C34" s="27" t="n"/>
      <c r="D34" s="31">
        <f>IF(COUNTA(C6:C30)&gt;0, MAX(F6:F30), "-")</f>
        <v/>
      </c>
      <c r="E34" s="27" t="n"/>
      <c r="F34" s="27" t="n"/>
      <c r="G34" s="31">
        <f>IF(COUNTA(C6:C30)&gt;0, MAX(I6:I30), "-")</f>
        <v/>
      </c>
      <c r="H34" s="27" t="n"/>
      <c r="I34" s="27" t="n"/>
      <c r="J34" s="31">
        <f>IF(COUNTA(C6:C30)&gt;0, MAX(L6:L30), "-")</f>
        <v/>
      </c>
      <c r="K34" s="27" t="n"/>
      <c r="L34" s="27" t="n"/>
      <c r="M34" s="32">
        <f>IF(COUNTA(C6:C30)&gt;0, MAX(M6:M30), "-")</f>
        <v/>
      </c>
      <c r="N34" s="30">
        <f>IF(COUNTA(C6:C30)&gt;0, MAX(N6:N30), "-")</f>
        <v/>
      </c>
      <c r="O34" s="27" t="n"/>
      <c r="P34" s="27" t="n"/>
      <c r="Q34" s="27" t="n"/>
    </row>
    <row r="35">
      <c r="A35" s="26" t="inlineStr">
        <is>
          <t>LOWEST MARKS</t>
        </is>
      </c>
      <c r="B35" s="27" t="n"/>
      <c r="C35" s="27" t="n"/>
      <c r="D35" s="31">
        <f>IF(COUNTA(C6:C30)&gt;0, MIN(F6:F30), "-")</f>
        <v/>
      </c>
      <c r="E35" s="27" t="n"/>
      <c r="F35" s="27" t="n"/>
      <c r="G35" s="31">
        <f>IF(COUNTA(C6:C30)&gt;0, MIN(I6:I30), "-")</f>
        <v/>
      </c>
      <c r="H35" s="27" t="n"/>
      <c r="I35" s="27" t="n"/>
      <c r="J35" s="31">
        <f>IF(COUNTA(C6:C30)&gt;0, MIN(L6:L30), "-")</f>
        <v/>
      </c>
      <c r="K35" s="27" t="n"/>
      <c r="L35" s="27" t="n"/>
      <c r="M35" s="32">
        <f>IF(COUNTA(C6:C30)&gt;0, MIN(M6:M30), "-")</f>
        <v/>
      </c>
      <c r="N35" s="30">
        <f>IF(COUNTA(C6:C30)&gt;0, MIN(N6:N30), "-")</f>
        <v/>
      </c>
      <c r="O35" s="27" t="n"/>
      <c r="P35" s="27" t="n"/>
      <c r="Q35" s="27" t="n"/>
    </row>
    <row r="36">
      <c r="A36" s="26" t="inlineStr">
        <is>
          <t>TOTAL PASSED</t>
        </is>
      </c>
      <c r="B36" s="27" t="n"/>
      <c r="C36" s="27" t="n"/>
      <c r="D36" s="31">
        <f>COUNTIF(F6:F30, "&gt;=35")</f>
        <v/>
      </c>
      <c r="E36" s="27" t="n"/>
      <c r="F36" s="27" t="n"/>
      <c r="G36" s="31">
        <f>COUNTIF(I6:I30, "&gt;=35")</f>
        <v/>
      </c>
      <c r="H36" s="27" t="n"/>
      <c r="I36" s="27" t="n"/>
      <c r="J36" s="31">
        <f>COUNTIF(L6:L30, "&gt;=35")</f>
        <v/>
      </c>
      <c r="K36" s="27" t="n"/>
      <c r="L36" s="27" t="n"/>
      <c r="M36" s="32">
        <f>COUNTIF(O6:O30, "PASS")</f>
        <v/>
      </c>
      <c r="N36" s="31" t="n"/>
      <c r="O36" s="27" t="n"/>
      <c r="P36" s="27" t="n"/>
      <c r="Q36" s="27" t="n"/>
    </row>
    <row r="37">
      <c r="A37" s="26" t="inlineStr">
        <is>
          <t>PASS PERCENTAGE (%)</t>
        </is>
      </c>
      <c r="B37" s="27" t="n"/>
      <c r="C37" s="27" t="n"/>
      <c r="D37" s="30">
        <f>IF(COUNTA(C6:C30)&gt;0, ROUND((D36/COUNTA(C6:C30))*100, 1), "-")</f>
        <v/>
      </c>
      <c r="E37" s="27" t="n"/>
      <c r="F37" s="27" t="n"/>
      <c r="G37" s="30">
        <f>IF(COUNTA(C6:C30)&gt;0, ROUND((G36/COUNTA(C6:C30))*100, 1), "-")</f>
        <v/>
      </c>
      <c r="H37" s="27" t="n"/>
      <c r="I37" s="27" t="n"/>
      <c r="J37" s="30">
        <f>IF(COUNTA(C6:C30)&gt;0, ROUND((J36/COUNTA(C6:C30))*100, 1), "-")</f>
        <v/>
      </c>
      <c r="K37" s="27" t="n"/>
      <c r="L37" s="27" t="n"/>
      <c r="M37" s="33">
        <f>IF(COUNTA(C6:C30)&gt;0, ROUND((M36/COUNTA(C6:C30))*100, 1), "-")</f>
        <v/>
      </c>
      <c r="N37" s="31" t="n"/>
      <c r="O37" s="27" t="n"/>
      <c r="P37" s="27" t="n"/>
      <c r="Q37" s="27" t="n"/>
    </row>
  </sheetData>
  <mergeCells count="33">
    <mergeCell ref="C4:C5"/>
    <mergeCell ref="A37:C37"/>
    <mergeCell ref="J36:L36"/>
    <mergeCell ref="G37:I37"/>
    <mergeCell ref="O4:O5"/>
    <mergeCell ref="J35:L35"/>
    <mergeCell ref="J4:L4"/>
    <mergeCell ref="G34:I34"/>
    <mergeCell ref="A1:Q1"/>
    <mergeCell ref="G33:I33"/>
    <mergeCell ref="A33:C33"/>
    <mergeCell ref="Q4:Q5"/>
    <mergeCell ref="D37:F37"/>
    <mergeCell ref="D4:F4"/>
    <mergeCell ref="G35:I35"/>
    <mergeCell ref="G4:I4"/>
    <mergeCell ref="A35:C35"/>
    <mergeCell ref="D33:F33"/>
    <mergeCell ref="J33:L33"/>
    <mergeCell ref="A4:A5"/>
    <mergeCell ref="D35:F35"/>
    <mergeCell ref="A2:Q2"/>
    <mergeCell ref="A34:C34"/>
    <mergeCell ref="D34:F34"/>
    <mergeCell ref="A36:C36"/>
    <mergeCell ref="M4:M5"/>
    <mergeCell ref="B4:B5"/>
    <mergeCell ref="G36:I36"/>
    <mergeCell ref="J37:L37"/>
    <mergeCell ref="N4:N5"/>
    <mergeCell ref="D36:F36"/>
    <mergeCell ref="P4:P5"/>
    <mergeCell ref="J34:L34"/>
  </mergeCells>
  <conditionalFormatting sqref="O6:O30">
    <cfRule type="cellIs" priority="1" operator="equal" dxfId="0">
      <formula>"PASS"</formula>
    </cfRule>
    <cfRule type="cellIs" priority="2" operator="equal" dxfId="1">
      <formula>"FAIL"</formula>
    </cfRule>
  </conditionalFormatting>
  <conditionalFormatting sqref="P6:P30">
    <cfRule type="cellIs" priority="3" operator="equal" dxfId="2">
      <formula>"A+"</formula>
    </cfRule>
  </conditionalFormatting>
  <dataValidations count="2">
    <dataValidation sqref="D6 D7 D8 D9 D10 D11 D12 D13 D14 D15 D16 D17 D18 D19 D20 D21 D22 D23 D24 D25 D26 D27 D28 D29 D30 G6 G7 G8 G9 G10 G11 G12 G13 G14 G15 G16 G17 G18 G19 G20 G21 G22 G23 G24 G25 G26 G27 G28 G29 G30 J6 J7 J8 J9 J10 J11 J12 J13 J14 J15 J16 J17 J18 J19 J20 J21 J22 J23 J24 J25 J26 J27 J28 J29 J30" showDropDown="0" showInputMessage="0" showErrorMessage="0" allowBlank="1" type="whole" operator="between">
      <formula1>0</formula1>
      <formula2>80</formula2>
    </dataValidation>
    <dataValidation sqref="E6 E7 E8 E9 E10 E11 E12 E13 E14 E15 E16 E17 E18 E19 E20 E21 E22 E23 E24 E25 E26 E27 E28 E29 E30 H6 H7 H8 H9 H10 H11 H12 H13 H14 H15 H16 H17 H18 H19 H20 H21 H22 H23 H24 H25 H26 H27 H28 H29 H30 K6 K7 K8 K9 K10 K11 K12 K13 K14 K15 K16 K17 K18 K19 K20 K21 K22 K23 K24 K25 K26 K27 K28 K29 K30" showDropDown="0" showInputMessage="0" showErrorMessage="0" allowBlank="1"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2026-10-16T10:55:38Z</dcterms:created>
  <dcterms:modified xmlns:dcterms="http://purl.org/dc/terms/" xmlns:xsi="http://www.w3.org/2001/XMLSchema-instance" xsi:type="dcterms:W3CDTF">2026-10-16T10:55:38Z</dcterms:modified>
</cp:coreProperties>
</file>