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10-A" sheetId="2" state="visible" r:id="rId2"/>
    <sheet xmlns:r="http://schemas.openxmlformats.org/officeDocument/2006/relationships" name="BULK-8A" sheetId="3" state="visible" r:id="rId3"/>
    <sheet xmlns:r="http://schemas.openxmlformats.org/officeDocument/2006/relationships" name="Class EvalSplit" sheetId="4" state="visible" r:id="rId4"/>
    <sheet xmlns:r="http://schemas.openxmlformats.org/officeDocument/2006/relationships" name="Class SplitKey" sheetId="5" state="visible" r:id="rId5"/>
    <sheet xmlns:r="http://schemas.openxmlformats.org/officeDocument/2006/relationships" name="Grade 10" sheetId="6" state="visible" r:id="rId6"/>
    <sheet xmlns:r="http://schemas.openxmlformats.org/officeDocument/2006/relationships" name="Grade 11" sheetId="7" state="visible" r:id="rId7"/>
    <sheet xmlns:r="http://schemas.openxmlformats.org/officeDocument/2006/relationships" name="Grade 11_2" sheetId="8" state="visible" r:id="rId8"/>
    <sheet xmlns:r="http://schemas.openxmlformats.org/officeDocument/2006/relationships" name="Grade 12" sheetId="9" state="visible" r:id="rId9"/>
    <sheet xmlns:r="http://schemas.openxmlformats.org/officeDocument/2006/relationships" name="Grade 9" sheetId="10" state="visible" r:id="rId10"/>
    <sheet xmlns:r="http://schemas.openxmlformats.org/officeDocument/2006/relationships" name="Grade 9_2" sheetId="11" state="visible" r:id="rId11"/>
    <sheet xmlns:r="http://schemas.openxmlformats.org/officeDocument/2006/relationships" name="IMP 9-A" sheetId="12" state="visible" r:id="rId12"/>
    <sheet xmlns:r="http://schemas.openxmlformats.org/officeDocument/2006/relationships" name="IMP 9-B" sheetId="13" state="visible" r:id="rId13"/>
    <sheet xmlns:r="http://schemas.openxmlformats.org/officeDocument/2006/relationships" name="Blank Template" sheetId="14" state="visible" r:id="rId14"/>
    <sheet xmlns:r="http://schemas.openxmlformats.org/officeDocument/2006/relationships" name="K-Level Analysi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FFFFFF"/>
      <sz val="10"/>
    </font>
    <font>
      <name val="Calibri"/>
      <b val="1"/>
      <color rgb="001F2937"/>
      <sz val="9"/>
    </font>
    <font>
      <name val="Calibri"/>
      <b val="1"/>
      <color rgb="001E3A8A"/>
      <sz val="9"/>
    </font>
    <font>
      <name val="Calibri"/>
      <b val="1"/>
      <sz val="10"/>
    </font>
    <font>
      <name val="Calibri"/>
      <b val="1"/>
      <color rgb="001E3A8A"/>
      <sz val="10"/>
    </font>
    <font>
      <name val="Calibri"/>
      <b val="1"/>
      <sz val="9"/>
    </font>
    <font>
      <name val="Calibri"/>
      <b val="1"/>
      <color rgb="001E3A8A"/>
      <sz val="11"/>
    </font>
    <font>
      <name val="Calibri"/>
      <b val="1"/>
      <color rgb="00166534"/>
      <sz val="10"/>
    </font>
    <font>
      <name val="Calibri"/>
      <b val="1"/>
      <color rgb="00991B1B"/>
      <sz val="10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3B82F6"/>
        <bgColor rgb="003B82F6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8FAFC"/>
      </patternFill>
    </fill>
    <fill>
      <patternFill patternType="solid">
        <fgColor rgb="00E0F2FE"/>
      </patternFill>
    </fill>
    <fill>
      <patternFill patternType="solid">
        <fgColor rgb="000F766E"/>
      </patternFill>
    </fill>
    <fill>
      <patternFill patternType="solid">
        <fgColor rgb="0018447E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3A8A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3" fillId="7" borderId="2" applyAlignment="1" pivotButton="0" quotePrefix="0" xfId="0">
      <alignment horizontal="right" vertical="center"/>
    </xf>
    <xf numFmtId="0" fontId="0" fillId="0" borderId="2" pivotButton="0" quotePrefix="0" xfId="0"/>
    <xf numFmtId="165" fontId="7" fillId="7" borderId="2" applyAlignment="1" pivotButton="0" quotePrefix="0" xfId="0">
      <alignment horizontal="center" vertical="center"/>
    </xf>
    <xf numFmtId="165" fontId="4" fillId="7" borderId="2" applyAlignment="1" pivotButton="0" quotePrefix="0" xfId="0">
      <alignment horizontal="center" vertical="center"/>
    </xf>
    <xf numFmtId="164" fontId="7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164" fontId="4" fillId="7" borderId="2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166534"/>
      </font>
      <fill>
        <patternFill patternType="solid">
          <fgColor rgb="00DCFCE7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13" customWidth="1" min="4" max="4"/>
    <col width="13" customWidth="1" min="5" max="5"/>
    <col width="18" customWidth="1" min="6" max="6"/>
    <col width="20" customWidth="1" min="7" max="7"/>
  </cols>
  <sheetData>
    <row r="1" ht="36" customHeight="1">
      <c r="A1" s="1" t="inlineStr">
        <is>
          <t>EVAL AI (ADEM) — INSTITUTION MARK SHEET OVERVIEW</t>
        </is>
      </c>
    </row>
    <row r="2" ht="22" customHeight="1">
      <c r="A2" s="2" t="inlineStr">
        <is>
          <t>Academic Year: 2025–2026  |  Total Classes: 12  |  Total Subjects: 10  |  Auto-Consolidated Dashboard</t>
        </is>
      </c>
    </row>
    <row r="4">
      <c r="A4" s="3" t="inlineStr">
        <is>
          <t>CLASS-WISE CONSOLIDATED PERFORMANCE SUMMARY</t>
        </is>
      </c>
    </row>
    <row r="5" ht="24" customHeight="1">
      <c r="A5" s="4" t="inlineStr">
        <is>
          <t>S.No</t>
        </is>
      </c>
      <c r="B5" s="4" t="inlineStr">
        <is>
          <t>Class / Section</t>
        </is>
      </c>
      <c r="C5" s="4" t="inlineStr">
        <is>
          <t>Total Enrolled</t>
        </is>
      </c>
      <c r="D5" s="4" t="inlineStr">
        <is>
          <t>Passed</t>
        </is>
      </c>
      <c r="E5" s="4" t="inlineStr">
        <is>
          <t>Failed</t>
        </is>
      </c>
      <c r="F5" s="4" t="inlineStr">
        <is>
          <t>Pass Percentage</t>
        </is>
      </c>
      <c r="G5" s="4" t="inlineStr">
        <is>
          <t>Class Average (%)</t>
        </is>
      </c>
    </row>
    <row r="6">
      <c r="A6" s="5" t="n">
        <v>1</v>
      </c>
      <c r="B6" s="6" t="inlineStr">
        <is>
          <t>10-A</t>
        </is>
      </c>
      <c r="C6" s="7">
        <f>COUNTA('10-A'!C6:C20)</f>
        <v/>
      </c>
      <c r="D6" s="8">
        <f>COUNTIF('10-A'!AJ6:AJ20, "PASS")</f>
        <v/>
      </c>
      <c r="E6" s="9">
        <f>COUNTIF('10-A'!AJ6:AJ20, "FAIL")</f>
        <v/>
      </c>
      <c r="F6" s="10">
        <f>IF(C6&gt;0, ROUND((D6/C6)*100, 1), 0)</f>
        <v/>
      </c>
      <c r="G6" s="11">
        <f>IF(C6&gt;0, ROUND(AVERAGE('10-A'!AI6:AI20), 1), 0)</f>
        <v/>
      </c>
    </row>
    <row r="7">
      <c r="A7" s="12" t="n">
        <v>2</v>
      </c>
      <c r="B7" s="13" t="inlineStr">
        <is>
          <t>BULK-8A</t>
        </is>
      </c>
      <c r="C7" s="14">
        <f>COUNTA('BULK-8A'!C6:C20)</f>
        <v/>
      </c>
      <c r="D7" s="15">
        <f>COUNTIF('BULK-8A'!AJ6:AJ20, "PASS")</f>
        <v/>
      </c>
      <c r="E7" s="16">
        <f>COUNTIF('BULK-8A'!AJ6:AJ20, "FAIL")</f>
        <v/>
      </c>
      <c r="F7" s="17">
        <f>IF(C7&gt;0, ROUND((D7/C7)*100, 1), 0)</f>
        <v/>
      </c>
      <c r="G7" s="18">
        <f>IF(C7&gt;0, ROUND(AVERAGE('BULK-8A'!AI6:AI20), 1), 0)</f>
        <v/>
      </c>
    </row>
    <row r="8">
      <c r="A8" s="5" t="n">
        <v>3</v>
      </c>
      <c r="B8" s="6" t="inlineStr">
        <is>
          <t>Class EvalSplit</t>
        </is>
      </c>
      <c r="C8" s="7">
        <f>COUNTA('Class EvalSplit'!C6:C20)</f>
        <v/>
      </c>
      <c r="D8" s="8">
        <f>COUNTIF('Class EvalSplit'!AJ6:AJ20, "PASS")</f>
        <v/>
      </c>
      <c r="E8" s="9">
        <f>COUNTIF('Class EvalSplit'!AJ6:AJ20, "FAIL")</f>
        <v/>
      </c>
      <c r="F8" s="10">
        <f>IF(C8&gt;0, ROUND((D8/C8)*100, 1), 0)</f>
        <v/>
      </c>
      <c r="G8" s="11">
        <f>IF(C8&gt;0, ROUND(AVERAGE('Class EvalSplit'!AI6:AI20), 1), 0)</f>
        <v/>
      </c>
    </row>
    <row r="9">
      <c r="A9" s="12" t="n">
        <v>4</v>
      </c>
      <c r="B9" s="13" t="inlineStr">
        <is>
          <t>Class SplitKey</t>
        </is>
      </c>
      <c r="C9" s="14">
        <f>COUNTA('Class SplitKey'!C6:C20)</f>
        <v/>
      </c>
      <c r="D9" s="15">
        <f>COUNTIF('Class SplitKey'!AJ6:AJ20, "PASS")</f>
        <v/>
      </c>
      <c r="E9" s="16">
        <f>COUNTIF('Class SplitKey'!AJ6:AJ20, "FAIL")</f>
        <v/>
      </c>
      <c r="F9" s="17">
        <f>IF(C9&gt;0, ROUND((D9/C9)*100, 1), 0)</f>
        <v/>
      </c>
      <c r="G9" s="18">
        <f>IF(C9&gt;0, ROUND(AVERAGE('Class SplitKey'!AI6:AI20), 1), 0)</f>
        <v/>
      </c>
    </row>
    <row r="10">
      <c r="A10" s="5" t="n">
        <v>5</v>
      </c>
      <c r="B10" s="6" t="inlineStr">
        <is>
          <t>Grade 10</t>
        </is>
      </c>
      <c r="C10" s="7">
        <f>COUNTA('Grade 10'!C6:C20)</f>
        <v/>
      </c>
      <c r="D10" s="8">
        <f>COUNTIF('Grade 10'!AJ6:AJ20, "PASS")</f>
        <v/>
      </c>
      <c r="E10" s="9">
        <f>COUNTIF('Grade 10'!AJ6:AJ20, "FAIL")</f>
        <v/>
      </c>
      <c r="F10" s="10">
        <f>IF(C10&gt;0, ROUND((D10/C10)*100, 1), 0)</f>
        <v/>
      </c>
      <c r="G10" s="11">
        <f>IF(C10&gt;0, ROUND(AVERAGE('Grade 10'!AI6:AI20), 1), 0)</f>
        <v/>
      </c>
    </row>
    <row r="11">
      <c r="A11" s="12" t="n">
        <v>6</v>
      </c>
      <c r="B11" s="13" t="inlineStr">
        <is>
          <t>Grade 11</t>
        </is>
      </c>
      <c r="C11" s="14">
        <f>COUNTA('Grade 11'!C6:C20)</f>
        <v/>
      </c>
      <c r="D11" s="15">
        <f>COUNTIF('Grade 11'!AJ6:AJ20, "PASS")</f>
        <v/>
      </c>
      <c r="E11" s="16">
        <f>COUNTIF('Grade 11'!AJ6:AJ20, "FAIL")</f>
        <v/>
      </c>
      <c r="F11" s="17">
        <f>IF(C11&gt;0, ROUND((D11/C11)*100, 1), 0)</f>
        <v/>
      </c>
      <c r="G11" s="18">
        <f>IF(C11&gt;0, ROUND(AVERAGE('Grade 11'!AI6:AI20), 1), 0)</f>
        <v/>
      </c>
    </row>
    <row r="12">
      <c r="A12" s="5" t="n">
        <v>7</v>
      </c>
      <c r="B12" s="6" t="inlineStr">
        <is>
          <t>Grade 11</t>
        </is>
      </c>
      <c r="C12" s="7">
        <f>COUNTA('Grade 11_2'!C6:C20)</f>
        <v/>
      </c>
      <c r="D12" s="8">
        <f>COUNTIF('Grade 11_2'!AJ6:AJ20, "PASS")</f>
        <v/>
      </c>
      <c r="E12" s="9">
        <f>COUNTIF('Grade 11_2'!AJ6:AJ20, "FAIL")</f>
        <v/>
      </c>
      <c r="F12" s="10">
        <f>IF(C12&gt;0, ROUND((D12/C12)*100, 1), 0)</f>
        <v/>
      </c>
      <c r="G12" s="11">
        <f>IF(C12&gt;0, ROUND(AVERAGE('Grade 11_2'!AI6:AI20), 1), 0)</f>
        <v/>
      </c>
    </row>
    <row r="13">
      <c r="A13" s="12" t="n">
        <v>8</v>
      </c>
      <c r="B13" s="13" t="inlineStr">
        <is>
          <t>Grade 12</t>
        </is>
      </c>
      <c r="C13" s="14">
        <f>COUNTA('Grade 12'!C6:C20)</f>
        <v/>
      </c>
      <c r="D13" s="15">
        <f>COUNTIF('Grade 12'!AJ6:AJ20, "PASS")</f>
        <v/>
      </c>
      <c r="E13" s="16">
        <f>COUNTIF('Grade 12'!AJ6:AJ20, "FAIL")</f>
        <v/>
      </c>
      <c r="F13" s="17">
        <f>IF(C13&gt;0, ROUND((D13/C13)*100, 1), 0)</f>
        <v/>
      </c>
      <c r="G13" s="18">
        <f>IF(C13&gt;0, ROUND(AVERAGE('Grade 12'!AI6:AI20), 1), 0)</f>
        <v/>
      </c>
    </row>
    <row r="14">
      <c r="A14" s="5" t="n">
        <v>9</v>
      </c>
      <c r="B14" s="6" t="inlineStr">
        <is>
          <t>Grade 9</t>
        </is>
      </c>
      <c r="C14" s="7">
        <f>COUNTA('Grade 9'!C6:C20)</f>
        <v/>
      </c>
      <c r="D14" s="8">
        <f>COUNTIF('Grade 9'!AJ6:AJ20, "PASS")</f>
        <v/>
      </c>
      <c r="E14" s="9">
        <f>COUNTIF('Grade 9'!AJ6:AJ20, "FAIL")</f>
        <v/>
      </c>
      <c r="F14" s="10">
        <f>IF(C14&gt;0, ROUND((D14/C14)*100, 1), 0)</f>
        <v/>
      </c>
      <c r="G14" s="11">
        <f>IF(C14&gt;0, ROUND(AVERAGE('Grade 9'!AI6:AI20), 1), 0)</f>
        <v/>
      </c>
    </row>
    <row r="15">
      <c r="A15" s="12" t="n">
        <v>10</v>
      </c>
      <c r="B15" s="13" t="inlineStr">
        <is>
          <t>Grade 9</t>
        </is>
      </c>
      <c r="C15" s="14">
        <f>COUNTA('Grade 9_2'!C6:C20)</f>
        <v/>
      </c>
      <c r="D15" s="15">
        <f>COUNTIF('Grade 9_2'!AJ6:AJ20, "PASS")</f>
        <v/>
      </c>
      <c r="E15" s="16">
        <f>COUNTIF('Grade 9_2'!AJ6:AJ20, "FAIL")</f>
        <v/>
      </c>
      <c r="F15" s="17">
        <f>IF(C15&gt;0, ROUND((D15/C15)*100, 1), 0)</f>
        <v/>
      </c>
      <c r="G15" s="18">
        <f>IF(C15&gt;0, ROUND(AVERAGE('Grade 9_2'!AI6:AI20), 1), 0)</f>
        <v/>
      </c>
    </row>
    <row r="16">
      <c r="A16" s="5" t="n">
        <v>11</v>
      </c>
      <c r="B16" s="6" t="inlineStr">
        <is>
          <t>IMP 9-A</t>
        </is>
      </c>
      <c r="C16" s="7">
        <f>COUNTA('IMP 9-A'!C6:C20)</f>
        <v/>
      </c>
      <c r="D16" s="8">
        <f>COUNTIF('IMP 9-A'!AJ6:AJ20, "PASS")</f>
        <v/>
      </c>
      <c r="E16" s="9">
        <f>COUNTIF('IMP 9-A'!AJ6:AJ20, "FAIL")</f>
        <v/>
      </c>
      <c r="F16" s="10">
        <f>IF(C16&gt;0, ROUND((D16/C16)*100, 1), 0)</f>
        <v/>
      </c>
      <c r="G16" s="11">
        <f>IF(C16&gt;0, ROUND(AVERAGE('IMP 9-A'!AI6:AI20), 1), 0)</f>
        <v/>
      </c>
    </row>
    <row r="17">
      <c r="A17" s="12" t="n">
        <v>12</v>
      </c>
      <c r="B17" s="13" t="inlineStr">
        <is>
          <t>IMP 9-B</t>
        </is>
      </c>
      <c r="C17" s="14">
        <f>COUNTA('IMP 9-B'!C6:C20)</f>
        <v/>
      </c>
      <c r="D17" s="15">
        <f>COUNTIF('IMP 9-B'!AJ6:AJ20, "PASS")</f>
        <v/>
      </c>
      <c r="E17" s="16">
        <f>COUNTIF('IMP 9-B'!AJ6:AJ20, "FAIL")</f>
        <v/>
      </c>
      <c r="F17" s="17">
        <f>IF(C17&gt;0, ROUND((D17/C17)*100, 1), 0)</f>
        <v/>
      </c>
      <c r="G17" s="18">
        <f>IF(C17&gt;0, ROUND(AVERAGE('IMP 9-B'!AI6:AI20), 1), 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10-A EXAMINATION MARK SHEET</t>
        </is>
      </c>
    </row>
    <row r="2" ht="22" customHeight="1">
      <c r="A2" s="2" t="inlineStr">
        <is>
          <t>Academic Year: 2025–2026  |  Class: 10-A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7</t>
        </is>
      </c>
      <c r="C6" s="6" t="inlineStr">
        <is>
          <t>Asha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>
        <v>11</v>
      </c>
      <c r="K6" s="5" t="n">
        <v>19</v>
      </c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BULK-8A EXAMINATION MARK SHEET</t>
        </is>
      </c>
    </row>
    <row r="2" ht="22" customHeight="1">
      <c r="A2" s="2" t="inlineStr">
        <is>
          <t>Academic Year: 2025–2026  |  Class: BULK-8A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1</t>
        </is>
      </c>
      <c r="C6" s="6" t="inlineStr">
        <is>
          <t>Asha Devi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n">
        <v>2</v>
      </c>
      <c r="B7" s="12" t="inlineStr">
        <is>
          <t>2</t>
        </is>
      </c>
      <c r="C7" s="13" t="inlineStr">
        <is>
          <t>Ravi Kumar</t>
        </is>
      </c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n">
        <v>3</v>
      </c>
      <c r="B8" s="5" t="inlineStr">
        <is>
          <t>3</t>
        </is>
      </c>
      <c r="C8" s="6" t="inlineStr">
        <is>
          <t>Meena S</t>
        </is>
      </c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n">
        <v>4</v>
      </c>
      <c r="B9" s="12" t="inlineStr">
        <is>
          <t>4</t>
        </is>
      </c>
      <c r="C9" s="13" t="inlineStr">
        <is>
          <t>Asha K</t>
        </is>
      </c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CLASS EVALSPLIT EXAMINATION MARK SHEET</t>
        </is>
      </c>
    </row>
    <row r="2" ht="22" customHeight="1">
      <c r="A2" s="2" t="inlineStr">
        <is>
          <t>Academic Year: 2025–2026  |  Class: Class EvalSplit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101</t>
        </is>
      </c>
      <c r="C6" s="6" t="inlineStr">
        <is>
          <t>Student Test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CLASS SPLITKEY EXAMINATION MARK SHEET</t>
        </is>
      </c>
    </row>
    <row r="2" ht="22" customHeight="1">
      <c r="A2" s="2" t="inlineStr">
        <is>
          <t>Academic Year: 2025–2026  |  Class: Class SplitKey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10 EXAMINATION MARK SHEET</t>
        </is>
      </c>
    </row>
    <row r="2" ht="22" customHeight="1">
      <c r="A2" s="2" t="inlineStr">
        <is>
          <t>Academic Year: 2025–2026  |  Class: Grade 10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11 EXAMINATION MARK SHEET</t>
        </is>
      </c>
    </row>
    <row r="2" ht="22" customHeight="1">
      <c r="A2" s="2" t="inlineStr">
        <is>
          <t>Academic Year: 2025–2026  |  Class: Grade 11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11 EXAMINATION MARK SHEET</t>
        </is>
      </c>
    </row>
    <row r="2" ht="22" customHeight="1">
      <c r="A2" s="2" t="inlineStr">
        <is>
          <t>Academic Year: 2025–2026  |  Class: Grade 11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12 EXAMINATION MARK SHEET</t>
        </is>
      </c>
    </row>
    <row r="2" ht="22" customHeight="1">
      <c r="A2" s="2" t="inlineStr">
        <is>
          <t>Academic Year: 2025–2026  |  Class: Grade 12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9 EXAMINATION MARK SHEET</t>
        </is>
      </c>
    </row>
    <row r="2" ht="22" customHeight="1">
      <c r="A2" s="2" t="inlineStr">
        <is>
          <t>Academic Year: 2025–2026  |  Class: Grade 9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9 EXAMINATION MARK SHEET</t>
        </is>
      </c>
    </row>
    <row r="2" ht="22" customHeight="1">
      <c r="A2" s="2" t="inlineStr">
        <is>
          <t>Academic Year: 2025–2026  |  Class: Grade 9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IMP 9-A EXAMINATION MARK SHEET</t>
        </is>
      </c>
    </row>
    <row r="2" ht="22" customHeight="1">
      <c r="A2" s="2" t="inlineStr">
        <is>
          <t>Academic Year: 2025–2026  |  Class: IMP 9-A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1</t>
        </is>
      </c>
      <c r="C6" s="6" t="inlineStr">
        <is>
          <t>Lakshmi R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n">
        <v>2</v>
      </c>
      <c r="B7" s="12" t="inlineStr">
        <is>
          <t>3</t>
        </is>
      </c>
      <c r="C7" s="13" t="inlineStr">
        <is>
          <t>Bala</t>
        </is>
      </c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IMP 9-B EXAMINATION MARK SHEET</t>
        </is>
      </c>
    </row>
    <row r="2" ht="22" customHeight="1">
      <c r="A2" s="2" t="inlineStr">
        <is>
          <t>Academic Year: 2025–2026  |  Class: IMP 9-B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2</t>
        </is>
      </c>
      <c r="C6" s="6" t="inlineStr">
        <is>
          <t>Arun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L3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[CLASS NAME] EXAMINATION MARK SHEET</t>
        </is>
      </c>
    </row>
    <row r="2" ht="22" customHeight="1">
      <c r="A2" s="2" t="inlineStr">
        <is>
          <t>Academic Year: 2025–2026  |  Class: [Class Name]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$AH$6:$AH$30))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$AH$6:$AH$30))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$AH$6:$AH$30))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$AH$6:$AH$30))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$AH$6:$AH$30))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$AH$6:$AH$30))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$AH$6:$AH$30))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$AH$6:$AH$30))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$AH$6:$AH$30))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$AH$6:$AH$30))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$AH$6:$AH$30))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$AH$6:$AH$30))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$AH$6:$AH$30))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$AH$6:$AH$30))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$AH$6:$AH$30))</f>
        <v/>
      </c>
    </row>
    <row r="21">
      <c r="A21" s="12" t="inlineStr"/>
      <c r="B21" s="12" t="inlineStr"/>
      <c r="C21" s="13" t="inlineStr"/>
      <c r="D21" s="12" t="n"/>
      <c r="E21" s="12" t="n"/>
      <c r="F21" s="14">
        <f>IF(ISBLANK(C21), "", D21+E21)</f>
        <v/>
      </c>
      <c r="G21" s="12" t="n"/>
      <c r="H21" s="12" t="n"/>
      <c r="I21" s="14">
        <f>IF(ISBLANK(C21), "", G21+H21)</f>
        <v/>
      </c>
      <c r="J21" s="12" t="n"/>
      <c r="K21" s="12" t="n"/>
      <c r="L21" s="14">
        <f>IF(ISBLANK(C21), "", J21+K21)</f>
        <v/>
      </c>
      <c r="M21" s="12" t="n"/>
      <c r="N21" s="12" t="n"/>
      <c r="O21" s="14">
        <f>IF(ISBLANK(C21), "", M21+N21)</f>
        <v/>
      </c>
      <c r="P21" s="12" t="n"/>
      <c r="Q21" s="12" t="n"/>
      <c r="R21" s="14">
        <f>IF(ISBLANK(C21), "", P21+Q21)</f>
        <v/>
      </c>
      <c r="S21" s="12" t="n"/>
      <c r="T21" s="12" t="n"/>
      <c r="U21" s="14">
        <f>IF(ISBLANK(C21), "", S21+T21)</f>
        <v/>
      </c>
      <c r="V21" s="12" t="n"/>
      <c r="W21" s="12" t="n"/>
      <c r="X21" s="14">
        <f>IF(ISBLANK(C21), "", V21+W21)</f>
        <v/>
      </c>
      <c r="Y21" s="12" t="n"/>
      <c r="Z21" s="12" t="n"/>
      <c r="AA21" s="14">
        <f>IF(ISBLANK(C21), "", Y21+Z21)</f>
        <v/>
      </c>
      <c r="AB21" s="12" t="n"/>
      <c r="AC21" s="12" t="n"/>
      <c r="AD21" s="14">
        <f>IF(ISBLANK(C21), "", AB21+AC21)</f>
        <v/>
      </c>
      <c r="AE21" s="12" t="n"/>
      <c r="AF21" s="12" t="n"/>
      <c r="AG21" s="14">
        <f>IF(ISBLANK(C21), "", AE21+AF21)</f>
        <v/>
      </c>
      <c r="AH21" s="25">
        <f>IF(ISBLANK(C21), "", F21+I21+L21+O21+R21+U21+X21+AA21+AD21+AG21)</f>
        <v/>
      </c>
      <c r="AI21" s="17">
        <f>IF(OR(ISBLANK(C21), AH21=""), "", ROUND((AH21/1000)*100, 1))</f>
        <v/>
      </c>
      <c r="AJ21" s="14">
        <f>IF(OR(ISBLANK(C21), AH21=""), "", IF(AND(F21&gt;=35, I21&gt;=35, L21&gt;=35, O21&gt;=35, R21&gt;=35, U21&gt;=35, X21&gt;=35, AA21&gt;=35, AD21&gt;=35, AG21&gt;=35), "PASS", "FAIL"))</f>
        <v/>
      </c>
      <c r="AK21" s="14">
        <f>IF(OR(ISBLANK(C21), AJ21=""), "", IF(AJ21="FAIL", "F", IF(AI21&gt;=90, "A+", IF(AI21&gt;=80, "A", IF(AI21&gt;=70, "B", IF(AI21&gt;=50, "C", "D"))))))</f>
        <v/>
      </c>
      <c r="AL21" s="14">
        <f>IF(OR(ISBLANK(C21), AH21=""), "", RANK(AH21, $AH$6:$AH$30))</f>
        <v/>
      </c>
    </row>
    <row r="22">
      <c r="A22" s="5" t="inlineStr"/>
      <c r="B22" s="5" t="inlineStr"/>
      <c r="C22" s="6" t="inlineStr"/>
      <c r="D22" s="5" t="n"/>
      <c r="E22" s="5" t="n"/>
      <c r="F22" s="7">
        <f>IF(ISBLANK(C22), "", D22+E22)</f>
        <v/>
      </c>
      <c r="G22" s="5" t="n"/>
      <c r="H22" s="5" t="n"/>
      <c r="I22" s="7">
        <f>IF(ISBLANK(C22), "", G22+H22)</f>
        <v/>
      </c>
      <c r="J22" s="5" t="n"/>
      <c r="K22" s="5" t="n"/>
      <c r="L22" s="7">
        <f>IF(ISBLANK(C22), "", J22+K22)</f>
        <v/>
      </c>
      <c r="M22" s="5" t="n"/>
      <c r="N22" s="5" t="n"/>
      <c r="O22" s="7">
        <f>IF(ISBLANK(C22), "", M22+N22)</f>
        <v/>
      </c>
      <c r="P22" s="5" t="n"/>
      <c r="Q22" s="5" t="n"/>
      <c r="R22" s="7">
        <f>IF(ISBLANK(C22), "", P22+Q22)</f>
        <v/>
      </c>
      <c r="S22" s="5" t="n"/>
      <c r="T22" s="5" t="n"/>
      <c r="U22" s="7">
        <f>IF(ISBLANK(C22), "", S22+T22)</f>
        <v/>
      </c>
      <c r="V22" s="5" t="n"/>
      <c r="W22" s="5" t="n"/>
      <c r="X22" s="7">
        <f>IF(ISBLANK(C22), "", V22+W22)</f>
        <v/>
      </c>
      <c r="Y22" s="5" t="n"/>
      <c r="Z22" s="5" t="n"/>
      <c r="AA22" s="7">
        <f>IF(ISBLANK(C22), "", Y22+Z22)</f>
        <v/>
      </c>
      <c r="AB22" s="5" t="n"/>
      <c r="AC22" s="5" t="n"/>
      <c r="AD22" s="7">
        <f>IF(ISBLANK(C22), "", AB22+AC22)</f>
        <v/>
      </c>
      <c r="AE22" s="5" t="n"/>
      <c r="AF22" s="5" t="n"/>
      <c r="AG22" s="7">
        <f>IF(ISBLANK(C22), "", AE22+AF22)</f>
        <v/>
      </c>
      <c r="AH22" s="24">
        <f>IF(ISBLANK(C22), "", F22+I22+L22+O22+R22+U22+X22+AA22+AD22+AG22)</f>
        <v/>
      </c>
      <c r="AI22" s="10">
        <f>IF(OR(ISBLANK(C22), AH22=""), "", ROUND((AH22/1000)*100, 1))</f>
        <v/>
      </c>
      <c r="AJ22" s="7">
        <f>IF(OR(ISBLANK(C22), AH22=""), "", IF(AND(F22&gt;=35, I22&gt;=35, L22&gt;=35, O22&gt;=35, R22&gt;=35, U22&gt;=35, X22&gt;=35, AA22&gt;=35, AD22&gt;=35, AG22&gt;=35), "PASS", "FAIL"))</f>
        <v/>
      </c>
      <c r="AK22" s="7">
        <f>IF(OR(ISBLANK(C22), AJ22=""), "", IF(AJ22="FAIL", "F", IF(AI22&gt;=90, "A+", IF(AI22&gt;=80, "A", IF(AI22&gt;=70, "B", IF(AI22&gt;=50, "C", "D"))))))</f>
        <v/>
      </c>
      <c r="AL22" s="7">
        <f>IF(OR(ISBLANK(C22), AH22=""), "", RANK(AH22, $AH$6:$AH$30))</f>
        <v/>
      </c>
    </row>
    <row r="23">
      <c r="A23" s="12" t="inlineStr"/>
      <c r="B23" s="12" t="inlineStr"/>
      <c r="C23" s="13" t="inlineStr"/>
      <c r="D23" s="12" t="n"/>
      <c r="E23" s="12" t="n"/>
      <c r="F23" s="14">
        <f>IF(ISBLANK(C23), "", D23+E23)</f>
        <v/>
      </c>
      <c r="G23" s="12" t="n"/>
      <c r="H23" s="12" t="n"/>
      <c r="I23" s="14">
        <f>IF(ISBLANK(C23), "", G23+H23)</f>
        <v/>
      </c>
      <c r="J23" s="12" t="n"/>
      <c r="K23" s="12" t="n"/>
      <c r="L23" s="14">
        <f>IF(ISBLANK(C23), "", J23+K23)</f>
        <v/>
      </c>
      <c r="M23" s="12" t="n"/>
      <c r="N23" s="12" t="n"/>
      <c r="O23" s="14">
        <f>IF(ISBLANK(C23), "", M23+N23)</f>
        <v/>
      </c>
      <c r="P23" s="12" t="n"/>
      <c r="Q23" s="12" t="n"/>
      <c r="R23" s="14">
        <f>IF(ISBLANK(C23), "", P23+Q23)</f>
        <v/>
      </c>
      <c r="S23" s="12" t="n"/>
      <c r="T23" s="12" t="n"/>
      <c r="U23" s="14">
        <f>IF(ISBLANK(C23), "", S23+T23)</f>
        <v/>
      </c>
      <c r="V23" s="12" t="n"/>
      <c r="W23" s="12" t="n"/>
      <c r="X23" s="14">
        <f>IF(ISBLANK(C23), "", V23+W23)</f>
        <v/>
      </c>
      <c r="Y23" s="12" t="n"/>
      <c r="Z23" s="12" t="n"/>
      <c r="AA23" s="14">
        <f>IF(ISBLANK(C23), "", Y23+Z23)</f>
        <v/>
      </c>
      <c r="AB23" s="12" t="n"/>
      <c r="AC23" s="12" t="n"/>
      <c r="AD23" s="14">
        <f>IF(ISBLANK(C23), "", AB23+AC23)</f>
        <v/>
      </c>
      <c r="AE23" s="12" t="n"/>
      <c r="AF23" s="12" t="n"/>
      <c r="AG23" s="14">
        <f>IF(ISBLANK(C23), "", AE23+AF23)</f>
        <v/>
      </c>
      <c r="AH23" s="25">
        <f>IF(ISBLANK(C23), "", F23+I23+L23+O23+R23+U23+X23+AA23+AD23+AG23)</f>
        <v/>
      </c>
      <c r="AI23" s="17">
        <f>IF(OR(ISBLANK(C23), AH23=""), "", ROUND((AH23/1000)*100, 1))</f>
        <v/>
      </c>
      <c r="AJ23" s="14">
        <f>IF(OR(ISBLANK(C23), AH23=""), "", IF(AND(F23&gt;=35, I23&gt;=35, L23&gt;=35, O23&gt;=35, R23&gt;=35, U23&gt;=35, X23&gt;=35, AA23&gt;=35, AD23&gt;=35, AG23&gt;=35), "PASS", "FAIL"))</f>
        <v/>
      </c>
      <c r="AK23" s="14">
        <f>IF(OR(ISBLANK(C23), AJ23=""), "", IF(AJ23="FAIL", "F", IF(AI23&gt;=90, "A+", IF(AI23&gt;=80, "A", IF(AI23&gt;=70, "B", IF(AI23&gt;=50, "C", "D"))))))</f>
        <v/>
      </c>
      <c r="AL23" s="14">
        <f>IF(OR(ISBLANK(C23), AH23=""), "", RANK(AH23, $AH$6:$AH$30))</f>
        <v/>
      </c>
    </row>
    <row r="24">
      <c r="A24" s="5" t="inlineStr"/>
      <c r="B24" s="5" t="inlineStr"/>
      <c r="C24" s="6" t="inlineStr"/>
      <c r="D24" s="5" t="n"/>
      <c r="E24" s="5" t="n"/>
      <c r="F24" s="7">
        <f>IF(ISBLANK(C24), "", D24+E24)</f>
        <v/>
      </c>
      <c r="G24" s="5" t="n"/>
      <c r="H24" s="5" t="n"/>
      <c r="I24" s="7">
        <f>IF(ISBLANK(C24), "", G24+H24)</f>
        <v/>
      </c>
      <c r="J24" s="5" t="n"/>
      <c r="K24" s="5" t="n"/>
      <c r="L24" s="7">
        <f>IF(ISBLANK(C24), "", J24+K24)</f>
        <v/>
      </c>
      <c r="M24" s="5" t="n"/>
      <c r="N24" s="5" t="n"/>
      <c r="O24" s="7">
        <f>IF(ISBLANK(C24), "", M24+N24)</f>
        <v/>
      </c>
      <c r="P24" s="5" t="n"/>
      <c r="Q24" s="5" t="n"/>
      <c r="R24" s="7">
        <f>IF(ISBLANK(C24), "", P24+Q24)</f>
        <v/>
      </c>
      <c r="S24" s="5" t="n"/>
      <c r="T24" s="5" t="n"/>
      <c r="U24" s="7">
        <f>IF(ISBLANK(C24), "", S24+T24)</f>
        <v/>
      </c>
      <c r="V24" s="5" t="n"/>
      <c r="W24" s="5" t="n"/>
      <c r="X24" s="7">
        <f>IF(ISBLANK(C24), "", V24+W24)</f>
        <v/>
      </c>
      <c r="Y24" s="5" t="n"/>
      <c r="Z24" s="5" t="n"/>
      <c r="AA24" s="7">
        <f>IF(ISBLANK(C24), "", Y24+Z24)</f>
        <v/>
      </c>
      <c r="AB24" s="5" t="n"/>
      <c r="AC24" s="5" t="n"/>
      <c r="AD24" s="7">
        <f>IF(ISBLANK(C24), "", AB24+AC24)</f>
        <v/>
      </c>
      <c r="AE24" s="5" t="n"/>
      <c r="AF24" s="5" t="n"/>
      <c r="AG24" s="7">
        <f>IF(ISBLANK(C24), "", AE24+AF24)</f>
        <v/>
      </c>
      <c r="AH24" s="24">
        <f>IF(ISBLANK(C24), "", F24+I24+L24+O24+R24+U24+X24+AA24+AD24+AG24)</f>
        <v/>
      </c>
      <c r="AI24" s="10">
        <f>IF(OR(ISBLANK(C24), AH24=""), "", ROUND((AH24/1000)*100, 1))</f>
        <v/>
      </c>
      <c r="AJ24" s="7">
        <f>IF(OR(ISBLANK(C24), AH24=""), "", IF(AND(F24&gt;=35, I24&gt;=35, L24&gt;=35, O24&gt;=35, R24&gt;=35, U24&gt;=35, X24&gt;=35, AA24&gt;=35, AD24&gt;=35, AG24&gt;=35), "PASS", "FAIL"))</f>
        <v/>
      </c>
      <c r="AK24" s="7">
        <f>IF(OR(ISBLANK(C24), AJ24=""), "", IF(AJ24="FAIL", "F", IF(AI24&gt;=90, "A+", IF(AI24&gt;=80, "A", IF(AI24&gt;=70, "B", IF(AI24&gt;=50, "C", "D"))))))</f>
        <v/>
      </c>
      <c r="AL24" s="7">
        <f>IF(OR(ISBLANK(C24), AH24=""), "", RANK(AH24, $AH$6:$AH$30))</f>
        <v/>
      </c>
    </row>
    <row r="25">
      <c r="A25" s="12" t="inlineStr"/>
      <c r="B25" s="12" t="inlineStr"/>
      <c r="C25" s="13" t="inlineStr"/>
      <c r="D25" s="12" t="n"/>
      <c r="E25" s="12" t="n"/>
      <c r="F25" s="14">
        <f>IF(ISBLANK(C25), "", D25+E25)</f>
        <v/>
      </c>
      <c r="G25" s="12" t="n"/>
      <c r="H25" s="12" t="n"/>
      <c r="I25" s="14">
        <f>IF(ISBLANK(C25), "", G25+H25)</f>
        <v/>
      </c>
      <c r="J25" s="12" t="n"/>
      <c r="K25" s="12" t="n"/>
      <c r="L25" s="14">
        <f>IF(ISBLANK(C25), "", J25+K25)</f>
        <v/>
      </c>
      <c r="M25" s="12" t="n"/>
      <c r="N25" s="12" t="n"/>
      <c r="O25" s="14">
        <f>IF(ISBLANK(C25), "", M25+N25)</f>
        <v/>
      </c>
      <c r="P25" s="12" t="n"/>
      <c r="Q25" s="12" t="n"/>
      <c r="R25" s="14">
        <f>IF(ISBLANK(C25), "", P25+Q25)</f>
        <v/>
      </c>
      <c r="S25" s="12" t="n"/>
      <c r="T25" s="12" t="n"/>
      <c r="U25" s="14">
        <f>IF(ISBLANK(C25), "", S25+T25)</f>
        <v/>
      </c>
      <c r="V25" s="12" t="n"/>
      <c r="W25" s="12" t="n"/>
      <c r="X25" s="14">
        <f>IF(ISBLANK(C25), "", V25+W25)</f>
        <v/>
      </c>
      <c r="Y25" s="12" t="n"/>
      <c r="Z25" s="12" t="n"/>
      <c r="AA25" s="14">
        <f>IF(ISBLANK(C25), "", Y25+Z25)</f>
        <v/>
      </c>
      <c r="AB25" s="12" t="n"/>
      <c r="AC25" s="12" t="n"/>
      <c r="AD25" s="14">
        <f>IF(ISBLANK(C25), "", AB25+AC25)</f>
        <v/>
      </c>
      <c r="AE25" s="12" t="n"/>
      <c r="AF25" s="12" t="n"/>
      <c r="AG25" s="14">
        <f>IF(ISBLANK(C25), "", AE25+AF25)</f>
        <v/>
      </c>
      <c r="AH25" s="25">
        <f>IF(ISBLANK(C25), "", F25+I25+L25+O25+R25+U25+X25+AA25+AD25+AG25)</f>
        <v/>
      </c>
      <c r="AI25" s="17">
        <f>IF(OR(ISBLANK(C25), AH25=""), "", ROUND((AH25/1000)*100, 1))</f>
        <v/>
      </c>
      <c r="AJ25" s="14">
        <f>IF(OR(ISBLANK(C25), AH25=""), "", IF(AND(F25&gt;=35, I25&gt;=35, L25&gt;=35, O25&gt;=35, R25&gt;=35, U25&gt;=35, X25&gt;=35, AA25&gt;=35, AD25&gt;=35, AG25&gt;=35), "PASS", "FAIL"))</f>
        <v/>
      </c>
      <c r="AK25" s="14">
        <f>IF(OR(ISBLANK(C25), AJ25=""), "", IF(AJ25="FAIL", "F", IF(AI25&gt;=90, "A+", IF(AI25&gt;=80, "A", IF(AI25&gt;=70, "B", IF(AI25&gt;=50, "C", "D"))))))</f>
        <v/>
      </c>
      <c r="AL25" s="14">
        <f>IF(OR(ISBLANK(C25), AH25=""), "", RANK(AH25, $AH$6:$AH$30))</f>
        <v/>
      </c>
    </row>
    <row r="26">
      <c r="A26" s="5" t="inlineStr"/>
      <c r="B26" s="5" t="inlineStr"/>
      <c r="C26" s="6" t="inlineStr"/>
      <c r="D26" s="5" t="n"/>
      <c r="E26" s="5" t="n"/>
      <c r="F26" s="7">
        <f>IF(ISBLANK(C26), "", D26+E26)</f>
        <v/>
      </c>
      <c r="G26" s="5" t="n"/>
      <c r="H26" s="5" t="n"/>
      <c r="I26" s="7">
        <f>IF(ISBLANK(C26), "", G26+H26)</f>
        <v/>
      </c>
      <c r="J26" s="5" t="n"/>
      <c r="K26" s="5" t="n"/>
      <c r="L26" s="7">
        <f>IF(ISBLANK(C26), "", J26+K26)</f>
        <v/>
      </c>
      <c r="M26" s="5" t="n"/>
      <c r="N26" s="5" t="n"/>
      <c r="O26" s="7">
        <f>IF(ISBLANK(C26), "", M26+N26)</f>
        <v/>
      </c>
      <c r="P26" s="5" t="n"/>
      <c r="Q26" s="5" t="n"/>
      <c r="R26" s="7">
        <f>IF(ISBLANK(C26), "", P26+Q26)</f>
        <v/>
      </c>
      <c r="S26" s="5" t="n"/>
      <c r="T26" s="5" t="n"/>
      <c r="U26" s="7">
        <f>IF(ISBLANK(C26), "", S26+T26)</f>
        <v/>
      </c>
      <c r="V26" s="5" t="n"/>
      <c r="W26" s="5" t="n"/>
      <c r="X26" s="7">
        <f>IF(ISBLANK(C26), "", V26+W26)</f>
        <v/>
      </c>
      <c r="Y26" s="5" t="n"/>
      <c r="Z26" s="5" t="n"/>
      <c r="AA26" s="7">
        <f>IF(ISBLANK(C26), "", Y26+Z26)</f>
        <v/>
      </c>
      <c r="AB26" s="5" t="n"/>
      <c r="AC26" s="5" t="n"/>
      <c r="AD26" s="7">
        <f>IF(ISBLANK(C26), "", AB26+AC26)</f>
        <v/>
      </c>
      <c r="AE26" s="5" t="n"/>
      <c r="AF26" s="5" t="n"/>
      <c r="AG26" s="7">
        <f>IF(ISBLANK(C26), "", AE26+AF26)</f>
        <v/>
      </c>
      <c r="AH26" s="24">
        <f>IF(ISBLANK(C26), "", F26+I26+L26+O26+R26+U26+X26+AA26+AD26+AG26)</f>
        <v/>
      </c>
      <c r="AI26" s="10">
        <f>IF(OR(ISBLANK(C26), AH26=""), "", ROUND((AH26/1000)*100, 1))</f>
        <v/>
      </c>
      <c r="AJ26" s="7">
        <f>IF(OR(ISBLANK(C26), AH26=""), "", IF(AND(F26&gt;=35, I26&gt;=35, L26&gt;=35, O26&gt;=35, R26&gt;=35, U26&gt;=35, X26&gt;=35, AA26&gt;=35, AD26&gt;=35, AG26&gt;=35), "PASS", "FAIL"))</f>
        <v/>
      </c>
      <c r="AK26" s="7">
        <f>IF(OR(ISBLANK(C26), AJ26=""), "", IF(AJ26="FAIL", "F", IF(AI26&gt;=90, "A+", IF(AI26&gt;=80, "A", IF(AI26&gt;=70, "B", IF(AI26&gt;=50, "C", "D"))))))</f>
        <v/>
      </c>
      <c r="AL26" s="7">
        <f>IF(OR(ISBLANK(C26), AH26=""), "", RANK(AH26, $AH$6:$AH$30))</f>
        <v/>
      </c>
    </row>
    <row r="27">
      <c r="A27" s="12" t="inlineStr"/>
      <c r="B27" s="12" t="inlineStr"/>
      <c r="C27" s="13" t="inlineStr"/>
      <c r="D27" s="12" t="n"/>
      <c r="E27" s="12" t="n"/>
      <c r="F27" s="14">
        <f>IF(ISBLANK(C27), "", D27+E27)</f>
        <v/>
      </c>
      <c r="G27" s="12" t="n"/>
      <c r="H27" s="12" t="n"/>
      <c r="I27" s="14">
        <f>IF(ISBLANK(C27), "", G27+H27)</f>
        <v/>
      </c>
      <c r="J27" s="12" t="n"/>
      <c r="K27" s="12" t="n"/>
      <c r="L27" s="14">
        <f>IF(ISBLANK(C27), "", J27+K27)</f>
        <v/>
      </c>
      <c r="M27" s="12" t="n"/>
      <c r="N27" s="12" t="n"/>
      <c r="O27" s="14">
        <f>IF(ISBLANK(C27), "", M27+N27)</f>
        <v/>
      </c>
      <c r="P27" s="12" t="n"/>
      <c r="Q27" s="12" t="n"/>
      <c r="R27" s="14">
        <f>IF(ISBLANK(C27), "", P27+Q27)</f>
        <v/>
      </c>
      <c r="S27" s="12" t="n"/>
      <c r="T27" s="12" t="n"/>
      <c r="U27" s="14">
        <f>IF(ISBLANK(C27), "", S27+T27)</f>
        <v/>
      </c>
      <c r="V27" s="12" t="n"/>
      <c r="W27" s="12" t="n"/>
      <c r="X27" s="14">
        <f>IF(ISBLANK(C27), "", V27+W27)</f>
        <v/>
      </c>
      <c r="Y27" s="12" t="n"/>
      <c r="Z27" s="12" t="n"/>
      <c r="AA27" s="14">
        <f>IF(ISBLANK(C27), "", Y27+Z27)</f>
        <v/>
      </c>
      <c r="AB27" s="12" t="n"/>
      <c r="AC27" s="12" t="n"/>
      <c r="AD27" s="14">
        <f>IF(ISBLANK(C27), "", AB27+AC27)</f>
        <v/>
      </c>
      <c r="AE27" s="12" t="n"/>
      <c r="AF27" s="12" t="n"/>
      <c r="AG27" s="14">
        <f>IF(ISBLANK(C27), "", AE27+AF27)</f>
        <v/>
      </c>
      <c r="AH27" s="25">
        <f>IF(ISBLANK(C27), "", F27+I27+L27+O27+R27+U27+X27+AA27+AD27+AG27)</f>
        <v/>
      </c>
      <c r="AI27" s="17">
        <f>IF(OR(ISBLANK(C27), AH27=""), "", ROUND((AH27/1000)*100, 1))</f>
        <v/>
      </c>
      <c r="AJ27" s="14">
        <f>IF(OR(ISBLANK(C27), AH27=""), "", IF(AND(F27&gt;=35, I27&gt;=35, L27&gt;=35, O27&gt;=35, R27&gt;=35, U27&gt;=35, X27&gt;=35, AA27&gt;=35, AD27&gt;=35, AG27&gt;=35), "PASS", "FAIL"))</f>
        <v/>
      </c>
      <c r="AK27" s="14">
        <f>IF(OR(ISBLANK(C27), AJ27=""), "", IF(AJ27="FAIL", "F", IF(AI27&gt;=90, "A+", IF(AI27&gt;=80, "A", IF(AI27&gt;=70, "B", IF(AI27&gt;=50, "C", "D"))))))</f>
        <v/>
      </c>
      <c r="AL27" s="14">
        <f>IF(OR(ISBLANK(C27), AH27=""), "", RANK(AH27, $AH$6:$AH$30))</f>
        <v/>
      </c>
    </row>
    <row r="28">
      <c r="A28" s="5" t="inlineStr"/>
      <c r="B28" s="5" t="inlineStr"/>
      <c r="C28" s="6" t="inlineStr"/>
      <c r="D28" s="5" t="n"/>
      <c r="E28" s="5" t="n"/>
      <c r="F28" s="7">
        <f>IF(ISBLANK(C28), "", D28+E28)</f>
        <v/>
      </c>
      <c r="G28" s="5" t="n"/>
      <c r="H28" s="5" t="n"/>
      <c r="I28" s="7">
        <f>IF(ISBLANK(C28), "", G28+H28)</f>
        <v/>
      </c>
      <c r="J28" s="5" t="n"/>
      <c r="K28" s="5" t="n"/>
      <c r="L28" s="7">
        <f>IF(ISBLANK(C28), "", J28+K28)</f>
        <v/>
      </c>
      <c r="M28" s="5" t="n"/>
      <c r="N28" s="5" t="n"/>
      <c r="O28" s="7">
        <f>IF(ISBLANK(C28), "", M28+N28)</f>
        <v/>
      </c>
      <c r="P28" s="5" t="n"/>
      <c r="Q28" s="5" t="n"/>
      <c r="R28" s="7">
        <f>IF(ISBLANK(C28), "", P28+Q28)</f>
        <v/>
      </c>
      <c r="S28" s="5" t="n"/>
      <c r="T28" s="5" t="n"/>
      <c r="U28" s="7">
        <f>IF(ISBLANK(C28), "", S28+T28)</f>
        <v/>
      </c>
      <c r="V28" s="5" t="n"/>
      <c r="W28" s="5" t="n"/>
      <c r="X28" s="7">
        <f>IF(ISBLANK(C28), "", V28+W28)</f>
        <v/>
      </c>
      <c r="Y28" s="5" t="n"/>
      <c r="Z28" s="5" t="n"/>
      <c r="AA28" s="7">
        <f>IF(ISBLANK(C28), "", Y28+Z28)</f>
        <v/>
      </c>
      <c r="AB28" s="5" t="n"/>
      <c r="AC28" s="5" t="n"/>
      <c r="AD28" s="7">
        <f>IF(ISBLANK(C28), "", AB28+AC28)</f>
        <v/>
      </c>
      <c r="AE28" s="5" t="n"/>
      <c r="AF28" s="5" t="n"/>
      <c r="AG28" s="7">
        <f>IF(ISBLANK(C28), "", AE28+AF28)</f>
        <v/>
      </c>
      <c r="AH28" s="24">
        <f>IF(ISBLANK(C28), "", F28+I28+L28+O28+R28+U28+X28+AA28+AD28+AG28)</f>
        <v/>
      </c>
      <c r="AI28" s="10">
        <f>IF(OR(ISBLANK(C28), AH28=""), "", ROUND((AH28/1000)*100, 1))</f>
        <v/>
      </c>
      <c r="AJ28" s="7">
        <f>IF(OR(ISBLANK(C28), AH28=""), "", IF(AND(F28&gt;=35, I28&gt;=35, L28&gt;=35, O28&gt;=35, R28&gt;=35, U28&gt;=35, X28&gt;=35, AA28&gt;=35, AD28&gt;=35, AG28&gt;=35), "PASS", "FAIL"))</f>
        <v/>
      </c>
      <c r="AK28" s="7">
        <f>IF(OR(ISBLANK(C28), AJ28=""), "", IF(AJ28="FAIL", "F", IF(AI28&gt;=90, "A+", IF(AI28&gt;=80, "A", IF(AI28&gt;=70, "B", IF(AI28&gt;=50, "C", "D"))))))</f>
        <v/>
      </c>
      <c r="AL28" s="7">
        <f>IF(OR(ISBLANK(C28), AH28=""), "", RANK(AH28, $AH$6:$AH$30))</f>
        <v/>
      </c>
    </row>
    <row r="29">
      <c r="A29" s="12" t="inlineStr"/>
      <c r="B29" s="12" t="inlineStr"/>
      <c r="C29" s="13" t="inlineStr"/>
      <c r="D29" s="12" t="n"/>
      <c r="E29" s="12" t="n"/>
      <c r="F29" s="14">
        <f>IF(ISBLANK(C29), "", D29+E29)</f>
        <v/>
      </c>
      <c r="G29" s="12" t="n"/>
      <c r="H29" s="12" t="n"/>
      <c r="I29" s="14">
        <f>IF(ISBLANK(C29), "", G29+H29)</f>
        <v/>
      </c>
      <c r="J29" s="12" t="n"/>
      <c r="K29" s="12" t="n"/>
      <c r="L29" s="14">
        <f>IF(ISBLANK(C29), "", J29+K29)</f>
        <v/>
      </c>
      <c r="M29" s="12" t="n"/>
      <c r="N29" s="12" t="n"/>
      <c r="O29" s="14">
        <f>IF(ISBLANK(C29), "", M29+N29)</f>
        <v/>
      </c>
      <c r="P29" s="12" t="n"/>
      <c r="Q29" s="12" t="n"/>
      <c r="R29" s="14">
        <f>IF(ISBLANK(C29), "", P29+Q29)</f>
        <v/>
      </c>
      <c r="S29" s="12" t="n"/>
      <c r="T29" s="12" t="n"/>
      <c r="U29" s="14">
        <f>IF(ISBLANK(C29), "", S29+T29)</f>
        <v/>
      </c>
      <c r="V29" s="12" t="n"/>
      <c r="W29" s="12" t="n"/>
      <c r="X29" s="14">
        <f>IF(ISBLANK(C29), "", V29+W29)</f>
        <v/>
      </c>
      <c r="Y29" s="12" t="n"/>
      <c r="Z29" s="12" t="n"/>
      <c r="AA29" s="14">
        <f>IF(ISBLANK(C29), "", Y29+Z29)</f>
        <v/>
      </c>
      <c r="AB29" s="12" t="n"/>
      <c r="AC29" s="12" t="n"/>
      <c r="AD29" s="14">
        <f>IF(ISBLANK(C29), "", AB29+AC29)</f>
        <v/>
      </c>
      <c r="AE29" s="12" t="n"/>
      <c r="AF29" s="12" t="n"/>
      <c r="AG29" s="14">
        <f>IF(ISBLANK(C29), "", AE29+AF29)</f>
        <v/>
      </c>
      <c r="AH29" s="25">
        <f>IF(ISBLANK(C29), "", F29+I29+L29+O29+R29+U29+X29+AA29+AD29+AG29)</f>
        <v/>
      </c>
      <c r="AI29" s="17">
        <f>IF(OR(ISBLANK(C29), AH29=""), "", ROUND((AH29/1000)*100, 1))</f>
        <v/>
      </c>
      <c r="AJ29" s="14">
        <f>IF(OR(ISBLANK(C29), AH29=""), "", IF(AND(F29&gt;=35, I29&gt;=35, L29&gt;=35, O29&gt;=35, R29&gt;=35, U29&gt;=35, X29&gt;=35, AA29&gt;=35, AD29&gt;=35, AG29&gt;=35), "PASS", "FAIL"))</f>
        <v/>
      </c>
      <c r="AK29" s="14">
        <f>IF(OR(ISBLANK(C29), AJ29=""), "", IF(AJ29="FAIL", "F", IF(AI29&gt;=90, "A+", IF(AI29&gt;=80, "A", IF(AI29&gt;=70, "B", IF(AI29&gt;=50, "C", "D"))))))</f>
        <v/>
      </c>
      <c r="AL29" s="14">
        <f>IF(OR(ISBLANK(C29), AH29=""), "", RANK(AH29, $AH$6:$AH$30))</f>
        <v/>
      </c>
    </row>
    <row r="30">
      <c r="A30" s="5" t="inlineStr"/>
      <c r="B30" s="5" t="inlineStr"/>
      <c r="C30" s="6" t="inlineStr"/>
      <c r="D30" s="5" t="n"/>
      <c r="E30" s="5" t="n"/>
      <c r="F30" s="7">
        <f>IF(ISBLANK(C30), "", D30+E30)</f>
        <v/>
      </c>
      <c r="G30" s="5" t="n"/>
      <c r="H30" s="5" t="n"/>
      <c r="I30" s="7">
        <f>IF(ISBLANK(C30), "", G30+H30)</f>
        <v/>
      </c>
      <c r="J30" s="5" t="n"/>
      <c r="K30" s="5" t="n"/>
      <c r="L30" s="7">
        <f>IF(ISBLANK(C30), "", J30+K30)</f>
        <v/>
      </c>
      <c r="M30" s="5" t="n"/>
      <c r="N30" s="5" t="n"/>
      <c r="O30" s="7">
        <f>IF(ISBLANK(C30), "", M30+N30)</f>
        <v/>
      </c>
      <c r="P30" s="5" t="n"/>
      <c r="Q30" s="5" t="n"/>
      <c r="R30" s="7">
        <f>IF(ISBLANK(C30), "", P30+Q30)</f>
        <v/>
      </c>
      <c r="S30" s="5" t="n"/>
      <c r="T30" s="5" t="n"/>
      <c r="U30" s="7">
        <f>IF(ISBLANK(C30), "", S30+T30)</f>
        <v/>
      </c>
      <c r="V30" s="5" t="n"/>
      <c r="W30" s="5" t="n"/>
      <c r="X30" s="7">
        <f>IF(ISBLANK(C30), "", V30+W30)</f>
        <v/>
      </c>
      <c r="Y30" s="5" t="n"/>
      <c r="Z30" s="5" t="n"/>
      <c r="AA30" s="7">
        <f>IF(ISBLANK(C30), "", Y30+Z30)</f>
        <v/>
      </c>
      <c r="AB30" s="5" t="n"/>
      <c r="AC30" s="5" t="n"/>
      <c r="AD30" s="7">
        <f>IF(ISBLANK(C30), "", AB30+AC30)</f>
        <v/>
      </c>
      <c r="AE30" s="5" t="n"/>
      <c r="AF30" s="5" t="n"/>
      <c r="AG30" s="7">
        <f>IF(ISBLANK(C30), "", AE30+AF30)</f>
        <v/>
      </c>
      <c r="AH30" s="24">
        <f>IF(ISBLANK(C30), "", F30+I30+L30+O30+R30+U30+X30+AA30+AD30+AG30)</f>
        <v/>
      </c>
      <c r="AI30" s="10">
        <f>IF(OR(ISBLANK(C30), AH30=""), "", ROUND((AH30/1000)*100, 1))</f>
        <v/>
      </c>
      <c r="AJ30" s="7">
        <f>IF(OR(ISBLANK(C30), AH30=""), "", IF(AND(F30&gt;=35, I30&gt;=35, L30&gt;=35, O30&gt;=35, R30&gt;=35, U30&gt;=35, X30&gt;=35, AA30&gt;=35, AD30&gt;=35, AG30&gt;=35), "PASS", "FAIL"))</f>
        <v/>
      </c>
      <c r="AK30" s="7">
        <f>IF(OR(ISBLANK(C30), AJ30=""), "", IF(AJ30="FAIL", "F", IF(AI30&gt;=90, "A+", IF(AI30&gt;=80, "A", IF(AI30&gt;=70, "B", IF(AI30&gt;=50, "C", "D"))))))</f>
        <v/>
      </c>
      <c r="AL30" s="7">
        <f>IF(OR(ISBLANK(C30), AH30=""), "", RANK(AH30, $AH$6:$AH$30))</f>
        <v/>
      </c>
    </row>
    <row r="32">
      <c r="A32" t="inlineStr"/>
    </row>
    <row r="33">
      <c r="A33" s="26" t="inlineStr">
        <is>
          <t>CLASS AVERAGE</t>
        </is>
      </c>
      <c r="B33" s="27" t="n"/>
      <c r="C33" s="27" t="n"/>
      <c r="D33" s="28">
        <f>IF(COUNTA(C6:C30)&gt;0, ROUND(AVERAGE(F6:F30), 1), "-")</f>
        <v/>
      </c>
      <c r="E33" s="27" t="n"/>
      <c r="F33" s="27" t="n"/>
      <c r="G33" s="28">
        <f>IF(COUNTA(C6:C30)&gt;0, ROUND(AVERAGE(I6:I30), 1), "-")</f>
        <v/>
      </c>
      <c r="H33" s="27" t="n"/>
      <c r="I33" s="27" t="n"/>
      <c r="J33" s="28">
        <f>IF(COUNTA(C6:C30)&gt;0, ROUND(AVERAGE(L6:L30), 1), "-")</f>
        <v/>
      </c>
      <c r="K33" s="27" t="n"/>
      <c r="L33" s="27" t="n"/>
      <c r="M33" s="28">
        <f>IF(COUNTA(C6:C30)&gt;0, ROUND(AVERAGE(O6:O30), 1), "-")</f>
        <v/>
      </c>
      <c r="N33" s="27" t="n"/>
      <c r="O33" s="27" t="n"/>
      <c r="P33" s="28">
        <f>IF(COUNTA(C6:C30)&gt;0, ROUND(AVERAGE(R6:R30), 1), "-")</f>
        <v/>
      </c>
      <c r="Q33" s="27" t="n"/>
      <c r="R33" s="27" t="n"/>
      <c r="S33" s="28">
        <f>IF(COUNTA(C6:C30)&gt;0, ROUND(AVERAGE(U6:U30), 1), "-")</f>
        <v/>
      </c>
      <c r="T33" s="27" t="n"/>
      <c r="U33" s="27" t="n"/>
      <c r="V33" s="28">
        <f>IF(COUNTA(C6:C30)&gt;0, ROUND(AVERAGE(X6:X30), 1), "-")</f>
        <v/>
      </c>
      <c r="W33" s="27" t="n"/>
      <c r="X33" s="27" t="n"/>
      <c r="Y33" s="28">
        <f>IF(COUNTA(C6:C30)&gt;0, ROUND(AVERAGE(AA6:AA30), 1), "-")</f>
        <v/>
      </c>
      <c r="Z33" s="27" t="n"/>
      <c r="AA33" s="27" t="n"/>
      <c r="AB33" s="28">
        <f>IF(COUNTA(C6:C30)&gt;0, ROUND(AVERAGE(AD6:AD30), 1), "-")</f>
        <v/>
      </c>
      <c r="AC33" s="27" t="n"/>
      <c r="AD33" s="27" t="n"/>
      <c r="AE33" s="28">
        <f>IF(COUNTA(C6:C30)&gt;0, ROUND(AVERAGE(AG6:AG30), 1), "-")</f>
        <v/>
      </c>
      <c r="AF33" s="27" t="n"/>
      <c r="AG33" s="27" t="n"/>
      <c r="AH33" s="29">
        <f>IF(COUNTA(C6:C30)&gt;0, ROUND(AVERAGE(AH6:AH30), 1), "-")</f>
        <v/>
      </c>
      <c r="AI33" s="30">
        <f>IF(COUNTA(C6:C30)&gt;0, ROUND(AVERAGE(AI6:AI30), 1), "-")</f>
        <v/>
      </c>
      <c r="AJ33" s="27" t="n"/>
      <c r="AK33" s="27" t="n"/>
      <c r="AL33" s="27" t="n"/>
    </row>
    <row r="34">
      <c r="A34" s="26" t="inlineStr">
        <is>
          <t>HIGHEST MARKS</t>
        </is>
      </c>
      <c r="B34" s="27" t="n"/>
      <c r="C34" s="27" t="n"/>
      <c r="D34" s="31">
        <f>IF(COUNTA(C6:C30)&gt;0, MAX(F6:F30), "-")</f>
        <v/>
      </c>
      <c r="E34" s="27" t="n"/>
      <c r="F34" s="27" t="n"/>
      <c r="G34" s="31">
        <f>IF(COUNTA(C6:C30)&gt;0, MAX(I6:I30), "-")</f>
        <v/>
      </c>
      <c r="H34" s="27" t="n"/>
      <c r="I34" s="27" t="n"/>
      <c r="J34" s="31">
        <f>IF(COUNTA(C6:C30)&gt;0, MAX(L6:L30), "-")</f>
        <v/>
      </c>
      <c r="K34" s="27" t="n"/>
      <c r="L34" s="27" t="n"/>
      <c r="M34" s="31">
        <f>IF(COUNTA(C6:C30)&gt;0, MAX(O6:O30), "-")</f>
        <v/>
      </c>
      <c r="N34" s="27" t="n"/>
      <c r="O34" s="27" t="n"/>
      <c r="P34" s="31">
        <f>IF(COUNTA(C6:C30)&gt;0, MAX(R6:R30), "-")</f>
        <v/>
      </c>
      <c r="Q34" s="27" t="n"/>
      <c r="R34" s="27" t="n"/>
      <c r="S34" s="31">
        <f>IF(COUNTA(C6:C30)&gt;0, MAX(U6:U30), "-")</f>
        <v/>
      </c>
      <c r="T34" s="27" t="n"/>
      <c r="U34" s="27" t="n"/>
      <c r="V34" s="31">
        <f>IF(COUNTA(C6:C30)&gt;0, MAX(X6:X30), "-")</f>
        <v/>
      </c>
      <c r="W34" s="27" t="n"/>
      <c r="X34" s="27" t="n"/>
      <c r="Y34" s="31">
        <f>IF(COUNTA(C6:C30)&gt;0, MAX(AA6:AA30), "-")</f>
        <v/>
      </c>
      <c r="Z34" s="27" t="n"/>
      <c r="AA34" s="27" t="n"/>
      <c r="AB34" s="31">
        <f>IF(COUNTA(C6:C30)&gt;0, MAX(AD6:AD30), "-")</f>
        <v/>
      </c>
      <c r="AC34" s="27" t="n"/>
      <c r="AD34" s="27" t="n"/>
      <c r="AE34" s="31">
        <f>IF(COUNTA(C6:C30)&gt;0, MAX(AG6:AG30), "-")</f>
        <v/>
      </c>
      <c r="AF34" s="27" t="n"/>
      <c r="AG34" s="27" t="n"/>
      <c r="AH34" s="32">
        <f>IF(COUNTA(C6:C30)&gt;0, MAX(AH6:AH30), "-")</f>
        <v/>
      </c>
      <c r="AI34" s="30">
        <f>IF(COUNTA(C6:C30)&gt;0, MAX(AI6:AI30), "-")</f>
        <v/>
      </c>
      <c r="AJ34" s="27" t="n"/>
      <c r="AK34" s="27" t="n"/>
      <c r="AL34" s="27" t="n"/>
    </row>
    <row r="35">
      <c r="A35" s="26" t="inlineStr">
        <is>
          <t>LOWEST MARKS</t>
        </is>
      </c>
      <c r="B35" s="27" t="n"/>
      <c r="C35" s="27" t="n"/>
      <c r="D35" s="31">
        <f>IF(COUNTA(C6:C30)&gt;0, MIN(F6:F30), "-")</f>
        <v/>
      </c>
      <c r="E35" s="27" t="n"/>
      <c r="F35" s="27" t="n"/>
      <c r="G35" s="31">
        <f>IF(COUNTA(C6:C30)&gt;0, MIN(I6:I30), "-")</f>
        <v/>
      </c>
      <c r="H35" s="27" t="n"/>
      <c r="I35" s="27" t="n"/>
      <c r="J35" s="31">
        <f>IF(COUNTA(C6:C30)&gt;0, MIN(L6:L30), "-")</f>
        <v/>
      </c>
      <c r="K35" s="27" t="n"/>
      <c r="L35" s="27" t="n"/>
      <c r="M35" s="31">
        <f>IF(COUNTA(C6:C30)&gt;0, MIN(O6:O30), "-")</f>
        <v/>
      </c>
      <c r="N35" s="27" t="n"/>
      <c r="O35" s="27" t="n"/>
      <c r="P35" s="31">
        <f>IF(COUNTA(C6:C30)&gt;0, MIN(R6:R30), "-")</f>
        <v/>
      </c>
      <c r="Q35" s="27" t="n"/>
      <c r="R35" s="27" t="n"/>
      <c r="S35" s="31">
        <f>IF(COUNTA(C6:C30)&gt;0, MIN(U6:U30), "-")</f>
        <v/>
      </c>
      <c r="T35" s="27" t="n"/>
      <c r="U35" s="27" t="n"/>
      <c r="V35" s="31">
        <f>IF(COUNTA(C6:C30)&gt;0, MIN(X6:X30), "-")</f>
        <v/>
      </c>
      <c r="W35" s="27" t="n"/>
      <c r="X35" s="27" t="n"/>
      <c r="Y35" s="31">
        <f>IF(COUNTA(C6:C30)&gt;0, MIN(AA6:AA30), "-")</f>
        <v/>
      </c>
      <c r="Z35" s="27" t="n"/>
      <c r="AA35" s="27" t="n"/>
      <c r="AB35" s="31">
        <f>IF(COUNTA(C6:C30)&gt;0, MIN(AD6:AD30), "-")</f>
        <v/>
      </c>
      <c r="AC35" s="27" t="n"/>
      <c r="AD35" s="27" t="n"/>
      <c r="AE35" s="31">
        <f>IF(COUNTA(C6:C30)&gt;0, MIN(AG6:AG30), "-")</f>
        <v/>
      </c>
      <c r="AF35" s="27" t="n"/>
      <c r="AG35" s="27" t="n"/>
      <c r="AH35" s="32">
        <f>IF(COUNTA(C6:C30)&gt;0, MIN(AH6:AH30), "-")</f>
        <v/>
      </c>
      <c r="AI35" s="30">
        <f>IF(COUNTA(C6:C30)&gt;0, MIN(AI6:AI30), "-")</f>
        <v/>
      </c>
      <c r="AJ35" s="27" t="n"/>
      <c r="AK35" s="27" t="n"/>
      <c r="AL35" s="27" t="n"/>
    </row>
    <row r="36">
      <c r="A36" s="26" t="inlineStr">
        <is>
          <t>TOTAL PASSED</t>
        </is>
      </c>
      <c r="B36" s="27" t="n"/>
      <c r="C36" s="27" t="n"/>
      <c r="D36" s="31">
        <f>COUNTIF(F6:F30, "&gt;=35")</f>
        <v/>
      </c>
      <c r="E36" s="27" t="n"/>
      <c r="F36" s="27" t="n"/>
      <c r="G36" s="31">
        <f>COUNTIF(I6:I30, "&gt;=35")</f>
        <v/>
      </c>
      <c r="H36" s="27" t="n"/>
      <c r="I36" s="27" t="n"/>
      <c r="J36" s="31">
        <f>COUNTIF(L6:L30, "&gt;=35")</f>
        <v/>
      </c>
      <c r="K36" s="27" t="n"/>
      <c r="L36" s="27" t="n"/>
      <c r="M36" s="31">
        <f>COUNTIF(O6:O30, "&gt;=35")</f>
        <v/>
      </c>
      <c r="N36" s="27" t="n"/>
      <c r="O36" s="27" t="n"/>
      <c r="P36" s="31">
        <f>COUNTIF(R6:R30, "&gt;=35")</f>
        <v/>
      </c>
      <c r="Q36" s="27" t="n"/>
      <c r="R36" s="27" t="n"/>
      <c r="S36" s="31">
        <f>COUNTIF(U6:U30, "&gt;=35")</f>
        <v/>
      </c>
      <c r="T36" s="27" t="n"/>
      <c r="U36" s="27" t="n"/>
      <c r="V36" s="31">
        <f>COUNTIF(X6:X30, "&gt;=35")</f>
        <v/>
      </c>
      <c r="W36" s="27" t="n"/>
      <c r="X36" s="27" t="n"/>
      <c r="Y36" s="31">
        <f>COUNTIF(AA6:AA30, "&gt;=35")</f>
        <v/>
      </c>
      <c r="Z36" s="27" t="n"/>
      <c r="AA36" s="27" t="n"/>
      <c r="AB36" s="31">
        <f>COUNTIF(AD6:AD30, "&gt;=35")</f>
        <v/>
      </c>
      <c r="AC36" s="27" t="n"/>
      <c r="AD36" s="27" t="n"/>
      <c r="AE36" s="31">
        <f>COUNTIF(AG6:AG30, "&gt;=35")</f>
        <v/>
      </c>
      <c r="AF36" s="27" t="n"/>
      <c r="AG36" s="27" t="n"/>
      <c r="AH36" s="32">
        <f>COUNTIF(AJ6:AJ30, "PASS")</f>
        <v/>
      </c>
      <c r="AI36" s="31" t="n"/>
      <c r="AJ36" s="27" t="n"/>
      <c r="AK36" s="27" t="n"/>
      <c r="AL36" s="27" t="n"/>
    </row>
    <row r="37">
      <c r="A37" s="26" t="inlineStr">
        <is>
          <t>PASS PERCENTAGE (%)</t>
        </is>
      </c>
      <c r="B37" s="27" t="n"/>
      <c r="C37" s="27" t="n"/>
      <c r="D37" s="30">
        <f>IF(COUNTA(C6:C30)&gt;0, ROUND((D36/COUNTA(C6:C30))*100, 1), "-")</f>
        <v/>
      </c>
      <c r="E37" s="27" t="n"/>
      <c r="F37" s="27" t="n"/>
      <c r="G37" s="30">
        <f>IF(COUNTA(C6:C30)&gt;0, ROUND((G36/COUNTA(C6:C30))*100, 1), "-")</f>
        <v/>
      </c>
      <c r="H37" s="27" t="n"/>
      <c r="I37" s="27" t="n"/>
      <c r="J37" s="30">
        <f>IF(COUNTA(C6:C30)&gt;0, ROUND((J36/COUNTA(C6:C30))*100, 1), "-")</f>
        <v/>
      </c>
      <c r="K37" s="27" t="n"/>
      <c r="L37" s="27" t="n"/>
      <c r="M37" s="30">
        <f>IF(COUNTA(C6:C30)&gt;0, ROUND((M36/COUNTA(C6:C30))*100, 1), "-")</f>
        <v/>
      </c>
      <c r="N37" s="27" t="n"/>
      <c r="O37" s="27" t="n"/>
      <c r="P37" s="30">
        <f>IF(COUNTA(C6:C30)&gt;0, ROUND((P36/COUNTA(C6:C30))*100, 1), "-")</f>
        <v/>
      </c>
      <c r="Q37" s="27" t="n"/>
      <c r="R37" s="27" t="n"/>
      <c r="S37" s="30">
        <f>IF(COUNTA(C6:C30)&gt;0, ROUND((S36/COUNTA(C6:C30))*100, 1), "-")</f>
        <v/>
      </c>
      <c r="T37" s="27" t="n"/>
      <c r="U37" s="27" t="n"/>
      <c r="V37" s="30">
        <f>IF(COUNTA(C6:C30)&gt;0, ROUND((V36/COUNTA(C6:C30))*100, 1), "-")</f>
        <v/>
      </c>
      <c r="W37" s="27" t="n"/>
      <c r="X37" s="27" t="n"/>
      <c r="Y37" s="30">
        <f>IF(COUNTA(C6:C30)&gt;0, ROUND((Y36/COUNTA(C6:C30))*100, 1), "-")</f>
        <v/>
      </c>
      <c r="Z37" s="27" t="n"/>
      <c r="AA37" s="27" t="n"/>
      <c r="AB37" s="30">
        <f>IF(COUNTA(C6:C30)&gt;0, ROUND((AB36/COUNTA(C6:C30))*100, 1), "-")</f>
        <v/>
      </c>
      <c r="AC37" s="27" t="n"/>
      <c r="AD37" s="27" t="n"/>
      <c r="AE37" s="30">
        <f>IF(COUNTA(C6:C30)&gt;0, ROUND((AE36/COUNTA(C6:C30))*100, 1), "-")</f>
        <v/>
      </c>
      <c r="AF37" s="27" t="n"/>
      <c r="AG37" s="27" t="n"/>
      <c r="AH37" s="33">
        <f>IF(COUNTA(C6:C30)&gt;0, ROUND((AH36/COUNTA(C6:C30))*100, 1), "-")</f>
        <v/>
      </c>
      <c r="AI37" s="31" t="n"/>
      <c r="AJ37" s="27" t="n"/>
      <c r="AK37" s="27" t="n"/>
      <c r="AL37" s="27" t="n"/>
    </row>
  </sheetData>
  <mergeCells count="75">
    <mergeCell ref="V34:X34"/>
    <mergeCell ref="Y35:AA35"/>
    <mergeCell ref="AE33:AG33"/>
    <mergeCell ref="C4:C5"/>
    <mergeCell ref="A37:C37"/>
    <mergeCell ref="J36:L36"/>
    <mergeCell ref="P36:R36"/>
    <mergeCell ref="G37:I37"/>
    <mergeCell ref="S37:U37"/>
    <mergeCell ref="J34:L34"/>
    <mergeCell ref="J35:L35"/>
    <mergeCell ref="J4:L4"/>
    <mergeCell ref="AH4:AH5"/>
    <mergeCell ref="G34:I34"/>
    <mergeCell ref="AB36:AD36"/>
    <mergeCell ref="G33:I33"/>
    <mergeCell ref="S34:U34"/>
    <mergeCell ref="Y34:AA34"/>
    <mergeCell ref="A33:C33"/>
    <mergeCell ref="M37:O37"/>
    <mergeCell ref="M33:O33"/>
    <mergeCell ref="S33:U33"/>
    <mergeCell ref="V36:X36"/>
    <mergeCell ref="D37:F37"/>
    <mergeCell ref="M36:O36"/>
    <mergeCell ref="D4:F4"/>
    <mergeCell ref="Y37:AA37"/>
    <mergeCell ref="A1:AL1"/>
    <mergeCell ref="AI4:AI5"/>
    <mergeCell ref="G4:I4"/>
    <mergeCell ref="G35:I35"/>
    <mergeCell ref="S36:U36"/>
    <mergeCell ref="Y36:AA36"/>
    <mergeCell ref="P37:R37"/>
    <mergeCell ref="A35:C35"/>
    <mergeCell ref="AE34:AG34"/>
    <mergeCell ref="M35:O35"/>
    <mergeCell ref="D33:F33"/>
    <mergeCell ref="S35:U35"/>
    <mergeCell ref="AE37:AG37"/>
    <mergeCell ref="Y33:AA33"/>
    <mergeCell ref="J33:L33"/>
    <mergeCell ref="P33:R33"/>
    <mergeCell ref="AB34:AD34"/>
    <mergeCell ref="AB37:AD37"/>
    <mergeCell ref="A4:A5"/>
    <mergeCell ref="V37:X37"/>
    <mergeCell ref="M4:O4"/>
    <mergeCell ref="S4:U4"/>
    <mergeCell ref="AB33:AD33"/>
    <mergeCell ref="D35:F35"/>
    <mergeCell ref="AE36:AG36"/>
    <mergeCell ref="AJ4:AJ5"/>
    <mergeCell ref="Y4:AA4"/>
    <mergeCell ref="AE4:AG4"/>
    <mergeCell ref="AL4:AL5"/>
    <mergeCell ref="A34:C34"/>
    <mergeCell ref="P4:R4"/>
    <mergeCell ref="M34:O34"/>
    <mergeCell ref="P35:R35"/>
    <mergeCell ref="D34:F34"/>
    <mergeCell ref="A2:AL2"/>
    <mergeCell ref="V33:X33"/>
    <mergeCell ref="A36:C36"/>
    <mergeCell ref="G36:I36"/>
    <mergeCell ref="B4:B5"/>
    <mergeCell ref="AE35:AG35"/>
    <mergeCell ref="J37:L37"/>
    <mergeCell ref="D36:F36"/>
    <mergeCell ref="V35:X35"/>
    <mergeCell ref="V4:X4"/>
    <mergeCell ref="AB4:AD4"/>
    <mergeCell ref="AB35:AD35"/>
    <mergeCell ref="AK4:AK5"/>
    <mergeCell ref="P34:R34"/>
  </mergeCells>
  <conditionalFormatting sqref="AJ6:AJ3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30">
    <cfRule type="cellIs" priority="3" operator="equal" dxfId="2">
      <formula>"A+"</formula>
    </cfRule>
  </conditionalFormatting>
  <dataValidations count="2">
    <dataValidation sqref="D6:D30 G6:G30 J6:J30 M6:M30 P6:P30 S6:S30 V6:V30 Y6:Y30 AB6:AB30 AE6:AE30" showDropDown="0" showInputMessage="0" showErrorMessage="0" allowBlank="1" type="whole" operator="between">
      <formula1>0</formula1>
      <formula2>80</formula2>
    </dataValidation>
    <dataValidation sqref="E6:E30 H6:H30 K6:K30 N6:N30 Q6:Q30 T6:T30 W6:W30 Z6:Z30 AC6:AC30 AF6:AF3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9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8" customWidth="1" min="14" max="14"/>
    <col width="8" customWidth="1" min="15" max="15"/>
    <col width="8" customWidth="1" min="16" max="16"/>
  </cols>
  <sheetData>
    <row r="1">
      <c r="A1" s="34" t="inlineStr">
        <is>
          <t>Class</t>
        </is>
      </c>
      <c r="B1" s="34" t="inlineStr">
        <is>
          <t>Exam</t>
        </is>
      </c>
      <c r="C1" s="34" t="inlineStr">
        <is>
          <t>Subject</t>
        </is>
      </c>
      <c r="D1" s="34" t="inlineStr">
        <is>
          <t>Roll No</t>
        </is>
      </c>
      <c r="E1" s="34" t="inlineStr">
        <is>
          <t>Reg No</t>
        </is>
      </c>
      <c r="F1" s="34" t="inlineStr">
        <is>
          <t>Student</t>
        </is>
      </c>
      <c r="G1" s="34" t="inlineStr">
        <is>
          <t>K1 Remember</t>
        </is>
      </c>
      <c r="H1" s="34" t="inlineStr">
        <is>
          <t>K2 Understand</t>
        </is>
      </c>
      <c r="I1" s="34" t="inlineStr">
        <is>
          <t>K3 Apply</t>
        </is>
      </c>
      <c r="J1" s="34" t="inlineStr">
        <is>
          <t>K4 Analyse</t>
        </is>
      </c>
      <c r="K1" s="34" t="inlineStr">
        <is>
          <t>K5 Evaluate</t>
        </is>
      </c>
      <c r="L1" s="34" t="inlineStr">
        <is>
          <t>K6 Create</t>
        </is>
      </c>
      <c r="M1" s="34" t="inlineStr">
        <is>
          <t>CO2</t>
        </is>
      </c>
      <c r="N1" s="34" t="inlineStr">
        <is>
          <t>Total</t>
        </is>
      </c>
      <c r="O1" s="34" t="inlineStr">
        <is>
          <t>Max</t>
        </is>
      </c>
      <c r="P1" s="34" t="inlineStr">
        <is>
          <t>%</t>
        </is>
      </c>
    </row>
    <row r="2">
      <c r="A2" t="inlineStr">
        <is>
          <t>10-A</t>
        </is>
      </c>
      <c r="B2" t="inlineStr">
        <is>
          <t>Term 1</t>
        </is>
      </c>
      <c r="C2" t="inlineStr">
        <is>
          <t>Biology</t>
        </is>
      </c>
      <c r="D2" t="inlineStr">
        <is>
          <t>7</t>
        </is>
      </c>
      <c r="E2" t="inlineStr"/>
      <c r="F2" t="inlineStr">
        <is>
          <t>Asha</t>
        </is>
      </c>
      <c r="G2" t="inlineStr">
        <is>
          <t>2 / 2</t>
        </is>
      </c>
      <c r="H2" t="inlineStr">
        <is>
          <t>3 / 3</t>
        </is>
      </c>
      <c r="I2" t="inlineStr">
        <is>
          <t>5 / 5</t>
        </is>
      </c>
      <c r="J2" t="inlineStr">
        <is>
          <t>1 / 5</t>
        </is>
      </c>
      <c r="K2" t="inlineStr"/>
      <c r="L2" t="inlineStr"/>
      <c r="M2" t="inlineStr">
        <is>
          <t>1 / 5</t>
        </is>
      </c>
      <c r="N2" t="n">
        <v>11</v>
      </c>
      <c r="O2" t="n">
        <v>15</v>
      </c>
      <c r="P2" t="n">
        <v>73.33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2026-10-22T09:54:05Z</dcterms:created>
  <dcterms:modified xmlns:dcterms="http://purl.org/dc/terms/" xmlns:xsi="http://www.w3.org/2001/XMLSchema-instance" xsi:type="dcterms:W3CDTF">2026-10-22T09:54:05Z</dcterms:modified>
</cp:coreProperties>
</file>