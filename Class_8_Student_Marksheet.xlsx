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Overview" sheetId="1" state="visible" r:id="rId1"/>
    <sheet xmlns:r="http://schemas.openxmlformats.org/officeDocument/2006/relationships" name="Blank Template"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1">
    <font>
      <name val="Calibri"/>
      <family val="2"/>
      <color theme="1"/>
      <sz val="11"/>
      <scheme val="minor"/>
    </font>
    <font>
      <name val="Calibri"/>
      <b val="1"/>
      <color rgb="00FFFFFF"/>
      <sz val="16"/>
    </font>
    <font>
      <name val="Calibri"/>
      <b val="1"/>
      <color rgb="00FFFFFF"/>
      <sz val="11"/>
    </font>
    <font>
      <name val="Calibri"/>
      <b val="1"/>
      <color rgb="001F2937"/>
      <sz val="10"/>
    </font>
    <font>
      <name val="Calibri"/>
      <b val="1"/>
      <color rgb="001E3A8A"/>
      <sz val="10"/>
    </font>
    <font>
      <name val="Calibri"/>
      <b val="1"/>
      <sz val="11"/>
    </font>
    <font>
      <name val="Calibri"/>
      <b val="1"/>
      <color rgb="001E3A8A"/>
      <sz val="11"/>
    </font>
    <font>
      <name val="Calibri"/>
      <b val="1"/>
      <sz val="10"/>
    </font>
    <font>
      <name val="Calibri"/>
      <b val="1"/>
      <color rgb="00166534"/>
      <sz val="10"/>
    </font>
    <font>
      <name val="Calibri"/>
      <sz val="10"/>
    </font>
    <font>
      <name val="Calibri"/>
      <b val="1"/>
      <color rgb="00991B1B"/>
      <sz val="10"/>
    </font>
  </fonts>
  <fills count="13">
    <fill>
      <patternFill/>
    </fill>
    <fill>
      <patternFill patternType="gray125"/>
    </fill>
    <fill>
      <patternFill patternType="solid">
        <fgColor rgb="001E3A8A"/>
        <bgColor rgb="001E3A8A"/>
      </patternFill>
    </fill>
    <fill>
      <patternFill patternType="solid">
        <fgColor rgb="003B82F6"/>
        <bgColor rgb="003B82F6"/>
      </patternFill>
    </fill>
    <fill>
      <patternFill patternType="solid">
        <fgColor rgb="00F3F4F6"/>
      </patternFill>
    </fill>
    <fill>
      <patternFill patternType="solid">
        <fgColor rgb="00DBEAFE"/>
      </patternFill>
    </fill>
    <fill>
      <patternFill patternType="solid">
        <fgColor rgb="00F8FAFC"/>
      </patternFill>
    </fill>
    <fill>
      <patternFill patternType="solid">
        <fgColor rgb="00E0F2FE"/>
      </patternFill>
    </fill>
    <fill>
      <patternFill patternType="solid">
        <fgColor rgb="000F766E"/>
      </patternFill>
    </fill>
    <fill>
      <patternFill patternType="solid">
        <fgColor rgb="001E3A8A"/>
      </patternFill>
    </fill>
    <fill>
      <patternFill patternType="solid">
        <fgColor rgb="00E5E7EB"/>
      </patternFill>
    </fill>
    <fill>
      <patternFill patternType="solid">
        <fgColor rgb="00DCFCE7"/>
      </patternFill>
    </fill>
    <fill>
      <patternFill patternType="solid">
        <fgColor rgb="00FEE2E2"/>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3A8A"/>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8" borderId="1" applyAlignment="1" pivotButton="0" quotePrefix="0" xfId="0">
      <alignment horizontal="center" vertical="center" wrapText="1"/>
    </xf>
    <xf numFmtId="0" fontId="6" fillId="7" borderId="2" applyAlignment="1" pivotButton="0" quotePrefix="0" xfId="0">
      <alignment horizontal="center" vertical="center"/>
    </xf>
    <xf numFmtId="164" fontId="6" fillId="7" borderId="2" applyAlignment="1" pivotButton="0" quotePrefix="0" xfId="0">
      <alignment horizontal="center" vertical="center"/>
    </xf>
    <xf numFmtId="0" fontId="2" fillId="9" borderId="0"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xf>
    <xf numFmtId="0" fontId="7" fillId="0" borderId="1" applyAlignment="1" pivotButton="0" quotePrefix="0" xfId="0">
      <alignment horizontal="center" vertical="center"/>
    </xf>
    <xf numFmtId="0" fontId="9" fillId="0" borderId="1" applyAlignment="1" pivotButton="0" quotePrefix="0" xfId="0">
      <alignment horizontal="center" vertical="center"/>
    </xf>
    <xf numFmtId="0" fontId="9" fillId="0" borderId="1" applyAlignment="1" pivotButton="0" quotePrefix="0" xfId="0">
      <alignment horizontal="left" vertical="center"/>
    </xf>
    <xf numFmtId="0" fontId="8" fillId="11" borderId="1" applyAlignment="1" pivotButton="0" quotePrefix="0" xfId="0">
      <alignment horizontal="center" vertical="center"/>
    </xf>
    <xf numFmtId="0" fontId="10" fillId="12"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5" fillId="0" borderId="1" applyAlignment="1" pivotButton="0" quotePrefix="0" xfId="0">
      <alignment horizontal="center" vertical="center"/>
    </xf>
    <xf numFmtId="0" fontId="0" fillId="6" borderId="1" applyAlignment="1" pivotButton="0" quotePrefix="0" xfId="0">
      <alignment horizontal="center" vertical="center"/>
    </xf>
    <xf numFmtId="0" fontId="0"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164" fontId="5" fillId="6" borderId="1" applyAlignment="1" pivotButton="0" quotePrefix="0" xfId="0">
      <alignment horizontal="center" vertical="center"/>
    </xf>
    <xf numFmtId="0" fontId="4" fillId="7" borderId="1" applyAlignment="1" pivotButton="0" quotePrefix="0" xfId="0">
      <alignment horizontal="right" vertical="center"/>
    </xf>
    <xf numFmtId="0" fontId="0" fillId="7" borderId="1" pivotButton="0" quotePrefix="0" xfId="0"/>
    <xf numFmtId="0" fontId="7" fillId="7" borderId="1" applyAlignment="1" pivotButton="0" quotePrefix="0" xfId="0">
      <alignment horizontal="center" vertical="center"/>
    </xf>
    <xf numFmtId="164" fontId="7" fillId="7" borderId="1" applyAlignment="1" pivotButton="0" quotePrefix="0" xfId="0">
      <alignment horizontal="center" vertical="center"/>
    </xf>
    <xf numFmtId="0" fontId="8" fillId="7" borderId="1" applyAlignment="1" pivotButton="0" quotePrefix="0" xfId="0">
      <alignment horizontal="center" vertical="center"/>
    </xf>
    <xf numFmtId="0" fontId="4" fillId="7" borderId="2" applyAlignment="1" pivotButton="0" quotePrefix="0" xfId="0">
      <alignment horizontal="right" vertical="center"/>
    </xf>
    <xf numFmtId="0" fontId="0" fillId="7" borderId="2" pivotButton="0" quotePrefix="0" xfId="0"/>
    <xf numFmtId="0" fontId="7" fillId="7" borderId="2" applyAlignment="1" pivotButton="0" quotePrefix="0" xfId="0">
      <alignment horizontal="center" vertical="center"/>
    </xf>
    <xf numFmtId="164" fontId="7" fillId="7" borderId="2" applyAlignment="1" pivotButton="0" quotePrefix="0" xfId="0">
      <alignment horizontal="center" vertical="center"/>
    </xf>
    <xf numFmtId="0" fontId="8" fillId="7" borderId="2" applyAlignment="1" pivotButton="0" quotePrefix="0" xfId="0">
      <alignment horizontal="center" vertical="center"/>
    </xf>
  </cellXfs>
  <cellStyles count="1">
    <cellStyle name="Normal" xfId="0" builtinId="0" hidden="0"/>
  </cellStyles>
  <dxfs count="3">
    <dxf>
      <font>
        <name val="Calibri"/>
        <b val="1"/>
        <color rgb="00166534"/>
      </font>
      <fill>
        <patternFill patternType="solid">
          <fgColor rgb="00DCFCE7"/>
          <bgColor rgb="00DCFCE7"/>
        </patternFill>
      </fill>
    </dxf>
    <dxf>
      <font>
        <name val="Calibri"/>
        <b val="1"/>
        <color rgb="00991B1B"/>
      </font>
      <fill>
        <patternFill patternType="solid">
          <fgColor rgb="00FEE2E2"/>
          <bgColor rgb="00FEE2E2"/>
        </patternFill>
      </fill>
    </dxf>
    <dxf>
      <font>
        <name val="Calibri"/>
        <b val="1"/>
        <color rgb="0092400E"/>
      </font>
      <fill>
        <patternFill patternType="solid">
          <fgColor rgb="00FEF3C7"/>
          <b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18" customWidth="1" min="1" max="1"/>
    <col width="18" customWidth="1" min="2" max="2"/>
    <col width="14" customWidth="1" min="3" max="3"/>
    <col width="14" customWidth="1" min="4" max="4"/>
    <col width="14" customWidth="1" min="5" max="5"/>
    <col width="14" customWidth="1" min="6" max="6"/>
    <col width="14" customWidth="1" min="7" max="7"/>
    <col width="16" customWidth="1" min="8" max="8"/>
    <col width="16" customWidth="1" min="9" max="9"/>
  </cols>
  <sheetData>
    <row r="1" ht="42" customHeight="1">
      <c r="A1" s="1" t="inlineStr">
        <is>
          <t>EVAL AI (ADEM) — CLASS 8 CONSOLIDATED PERFORMANCE OVERVIEW</t>
        </is>
      </c>
    </row>
    <row r="2" ht="24" customHeight="1">
      <c r="A2" s="2" t="inlineStr">
        <is>
          <t>Academic Year: 2025–2026  |  Total Sections: 3 (8-A, 8-B, 8-C)  |  Standard: Class 8  |  Subjects: 5 Core (500 Marks)</t>
        </is>
      </c>
    </row>
    <row r="3" ht="14" customHeight="1"/>
    <row r="4" ht="30" customHeight="1">
      <c r="A4" s="3" t="inlineStr">
        <is>
          <t>Class Section</t>
        </is>
      </c>
      <c r="B4" s="3" t="inlineStr">
        <is>
          <t>Enrolled Students</t>
        </is>
      </c>
      <c r="C4" s="3" t="inlineStr">
        <is>
          <t>Tamil Avg</t>
        </is>
      </c>
      <c r="D4" s="3" t="inlineStr">
        <is>
          <t>English Avg</t>
        </is>
      </c>
      <c r="E4" s="3" t="inlineStr">
        <is>
          <t>Maths Avg</t>
        </is>
      </c>
      <c r="F4" s="3" t="inlineStr">
        <is>
          <t>Science Avg</t>
        </is>
      </c>
      <c r="G4" s="3" t="inlineStr">
        <is>
          <t>Social Avg</t>
        </is>
      </c>
      <c r="H4" s="3" t="inlineStr">
        <is>
          <t>Class Avg (%)</t>
        </is>
      </c>
      <c r="I4" s="3" t="inlineStr">
        <is>
          <t>Overall Pass %</t>
        </is>
      </c>
    </row>
    <row r="5" ht="26" customHeight="1">
      <c r="A5" s="4" t="inlineStr">
        <is>
          <t>Class 8 Overall</t>
        </is>
      </c>
      <c r="B5" s="4">
        <f>SUM(B5:B4)</f>
        <v/>
      </c>
      <c r="C5" s="4">
        <f>ROUND(AVERAGE(C5:C4), 1)</f>
        <v/>
      </c>
      <c r="D5" s="4">
        <f>ROUND(AVERAGE(D5:D4), 1)</f>
        <v/>
      </c>
      <c r="E5" s="4">
        <f>ROUND(AVERAGE(E5:E4), 1)</f>
        <v/>
      </c>
      <c r="F5" s="4">
        <f>ROUND(AVERAGE(F5:F4), 1)</f>
        <v/>
      </c>
      <c r="G5" s="4">
        <f>ROUND(AVERAGE(G5:G4), 1)</f>
        <v/>
      </c>
      <c r="H5" s="5">
        <f>ROUND(AVERAGE(H5:H4), 1)</f>
        <v/>
      </c>
      <c r="I5" s="5">
        <f>ROUND(AVERAGE(I5:I4), 1)</f>
        <v/>
      </c>
    </row>
    <row r="8" ht="26" customHeight="1">
      <c r="A8" s="6" t="inlineStr">
        <is>
          <t>OFFICIAL GRADING SCHEME &amp; CRITERIA</t>
        </is>
      </c>
    </row>
    <row r="9" ht="20" customHeight="1">
      <c r="A9" s="7" t="inlineStr">
        <is>
          <t>Grade</t>
        </is>
      </c>
      <c r="B9" s="7" t="inlineStr">
        <is>
          <t>Mark Range (%)</t>
        </is>
      </c>
      <c r="C9" s="8" t="inlineStr">
        <is>
          <t>Description</t>
        </is>
      </c>
      <c r="D9" s="7" t="inlineStr">
        <is>
          <t>Status</t>
        </is>
      </c>
      <c r="E9" s="8" t="inlineStr">
        <is>
          <t>Remarks</t>
        </is>
      </c>
    </row>
    <row r="10" ht="20" customHeight="1">
      <c r="A10" s="9" t="inlineStr">
        <is>
          <t>A+</t>
        </is>
      </c>
      <c r="B10" s="10" t="inlineStr">
        <is>
          <t>90% – 100%</t>
        </is>
      </c>
      <c r="C10" s="11" t="inlineStr">
        <is>
          <t>Outstanding Performance</t>
        </is>
      </c>
      <c r="D10" s="12" t="inlineStr">
        <is>
          <t>PASS</t>
        </is>
      </c>
      <c r="E10" s="11" t="inlineStr">
        <is>
          <t>Distinction with Honours</t>
        </is>
      </c>
    </row>
    <row r="11" ht="20" customHeight="1">
      <c r="A11" s="9" t="inlineStr">
        <is>
          <t>A</t>
        </is>
      </c>
      <c r="B11" s="10" t="inlineStr">
        <is>
          <t>80% – 89%</t>
        </is>
      </c>
      <c r="C11" s="11" t="inlineStr">
        <is>
          <t>Excellent Mastery</t>
        </is>
      </c>
      <c r="D11" s="12" t="inlineStr">
        <is>
          <t>PASS</t>
        </is>
      </c>
      <c r="E11" s="11" t="inlineStr">
        <is>
          <t>Distinction</t>
        </is>
      </c>
    </row>
    <row r="12" ht="20" customHeight="1">
      <c r="A12" s="9" t="inlineStr">
        <is>
          <t>B</t>
        </is>
      </c>
      <c r="B12" s="10" t="inlineStr">
        <is>
          <t>70% – 79%</t>
        </is>
      </c>
      <c r="C12" s="11" t="inlineStr">
        <is>
          <t>Very Good</t>
        </is>
      </c>
      <c r="D12" s="12" t="inlineStr">
        <is>
          <t>PASS</t>
        </is>
      </c>
      <c r="E12" s="11" t="inlineStr">
        <is>
          <t>First Class</t>
        </is>
      </c>
    </row>
    <row r="13" ht="20" customHeight="1">
      <c r="A13" s="9" t="inlineStr">
        <is>
          <t>C</t>
        </is>
      </c>
      <c r="B13" s="10" t="inlineStr">
        <is>
          <t>50% – 69%</t>
        </is>
      </c>
      <c r="C13" s="11" t="inlineStr">
        <is>
          <t>Good Understanding</t>
        </is>
      </c>
      <c r="D13" s="12" t="inlineStr">
        <is>
          <t>PASS</t>
        </is>
      </c>
      <c r="E13" s="11" t="inlineStr">
        <is>
          <t>Second Class</t>
        </is>
      </c>
    </row>
    <row r="14" ht="20" customHeight="1">
      <c r="A14" s="9" t="inlineStr">
        <is>
          <t>D</t>
        </is>
      </c>
      <c r="B14" s="10" t="inlineStr">
        <is>
          <t>35% – 49%</t>
        </is>
      </c>
      <c r="C14" s="11" t="inlineStr">
        <is>
          <t>Satisfactory / Pass</t>
        </is>
      </c>
      <c r="D14" s="12" t="inlineStr">
        <is>
          <t>PASS</t>
        </is>
      </c>
      <c r="E14" s="11" t="inlineStr">
        <is>
          <t>Eligible for Promotion</t>
        </is>
      </c>
    </row>
    <row r="15" ht="20" customHeight="1">
      <c r="A15" s="9" t="inlineStr">
        <is>
          <t>F</t>
        </is>
      </c>
      <c r="B15" s="10" t="inlineStr">
        <is>
          <t>Below 35%</t>
        </is>
      </c>
      <c r="C15" s="11" t="inlineStr">
        <is>
          <t>Needs Immediate Remedial Support</t>
        </is>
      </c>
      <c r="D15" s="13" t="inlineStr">
        <is>
          <t>FAIL</t>
        </is>
      </c>
      <c r="E15" s="11" t="inlineStr">
        <is>
          <t>Supplementary Exam Required</t>
        </is>
      </c>
    </row>
  </sheetData>
  <mergeCells count="3">
    <mergeCell ref="A1:I1"/>
    <mergeCell ref="A2:I2"/>
    <mergeCell ref="A8: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6"/>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2" customWidth="1" min="3" max="3"/>
    <col width="11" customWidth="1" min="4" max="4"/>
    <col width="11" customWidth="1" min="5" max="5"/>
    <col width="13" customWidth="1" min="6" max="6"/>
    <col width="11" customWidth="1" min="7" max="7"/>
    <col width="11" customWidth="1" min="8" max="8"/>
    <col width="13" customWidth="1" min="9" max="9"/>
    <col width="11" customWidth="1" min="10" max="10"/>
    <col width="11" customWidth="1" min="11" max="11"/>
    <col width="13" customWidth="1" min="12" max="12"/>
    <col width="11" customWidth="1" min="13" max="13"/>
    <col width="11" customWidth="1" min="14" max="14"/>
    <col width="13" customWidth="1" min="15" max="15"/>
    <col width="11" customWidth="1" min="16" max="16"/>
    <col width="11" customWidth="1" min="17" max="17"/>
    <col width="13" customWidth="1" min="18" max="18"/>
    <col width="18" customWidth="1" min="19" max="19"/>
    <col width="15" customWidth="1" min="20" max="20"/>
    <col width="13" customWidth="1" min="21" max="21"/>
    <col width="10" customWidth="1" min="22" max="22"/>
    <col width="12" customWidth="1" min="23" max="23"/>
  </cols>
  <sheetData>
    <row r="1" ht="42" customHeight="1">
      <c r="A1" s="1" t="inlineStr">
        <is>
          <t>EVAL AI (ADEM) — CLASS 8 ANNUAL EXAMINATION MARK SHEET</t>
        </is>
      </c>
    </row>
    <row r="2" ht="24" customHeight="1">
      <c r="A2" s="2" t="inlineStr">
        <is>
          <t>Academic Year: 2025–2026  |  Section: Class 8 [New Section]  |  Max Marks: 500  |  Pass Criteria: Minimum 35% in each subject</t>
        </is>
      </c>
    </row>
    <row r="3" ht="10" customHeight="1"/>
    <row r="4" ht="28" customHeight="1">
      <c r="A4" s="14" t="inlineStr">
        <is>
          <t>S.No</t>
        </is>
      </c>
      <c r="B4" s="14" t="inlineStr">
        <is>
          <t>Roll No</t>
        </is>
      </c>
      <c r="C4" s="14" t="inlineStr">
        <is>
          <t>Student Name</t>
        </is>
      </c>
      <c r="D4" s="14" t="inlineStr">
        <is>
          <t>TAMIL (100)</t>
        </is>
      </c>
      <c r="E4" s="15" t="n"/>
      <c r="F4" s="15" t="n"/>
      <c r="G4" s="14" t="inlineStr">
        <is>
          <t>ENGLISH (100)</t>
        </is>
      </c>
      <c r="H4" s="15" t="n"/>
      <c r="I4" s="15" t="n"/>
      <c r="J4" s="14" t="inlineStr">
        <is>
          <t>MATHEMATICS (100)</t>
        </is>
      </c>
      <c r="K4" s="15" t="n"/>
      <c r="L4" s="15" t="n"/>
      <c r="M4" s="14" t="inlineStr">
        <is>
          <t>SCIENCE (100)</t>
        </is>
      </c>
      <c r="N4" s="15" t="n"/>
      <c r="O4" s="15" t="n"/>
      <c r="P4" s="14" t="inlineStr">
        <is>
          <t>SOCIAL SCIENCE (100)</t>
        </is>
      </c>
      <c r="Q4" s="15" t="n"/>
      <c r="R4" s="15" t="n"/>
      <c r="S4" s="14" t="inlineStr">
        <is>
          <t>Grand Total (500)</t>
        </is>
      </c>
      <c r="T4" s="14" t="inlineStr">
        <is>
          <t>Percentage (%)</t>
        </is>
      </c>
      <c r="U4" s="14" t="inlineStr">
        <is>
          <t>Result</t>
        </is>
      </c>
      <c r="V4" s="14" t="inlineStr">
        <is>
          <t>Grade</t>
        </is>
      </c>
      <c r="W4" s="14" t="inlineStr">
        <is>
          <t>Class Rank</t>
        </is>
      </c>
    </row>
    <row r="5" ht="32" customHeight="1">
      <c r="A5" s="15" t="n"/>
      <c r="B5" s="15" t="n"/>
      <c r="C5" s="15" t="n"/>
      <c r="D5" s="16" t="inlineStr">
        <is>
          <t>Theory
(80)</t>
        </is>
      </c>
      <c r="E5" s="16" t="inlineStr">
        <is>
          <t>Internal
(20)</t>
        </is>
      </c>
      <c r="F5" s="17" t="inlineStr">
        <is>
          <t>Total
(100)</t>
        </is>
      </c>
      <c r="G5" s="16" t="inlineStr">
        <is>
          <t>Theory
(80)</t>
        </is>
      </c>
      <c r="H5" s="16" t="inlineStr">
        <is>
          <t>Internal
(20)</t>
        </is>
      </c>
      <c r="I5" s="17" t="inlineStr">
        <is>
          <t>Total
(100)</t>
        </is>
      </c>
      <c r="J5" s="16" t="inlineStr">
        <is>
          <t>Theory
(80)</t>
        </is>
      </c>
      <c r="K5" s="16" t="inlineStr">
        <is>
          <t>Internal
(20)</t>
        </is>
      </c>
      <c r="L5" s="17" t="inlineStr">
        <is>
          <t>Total
(100)</t>
        </is>
      </c>
      <c r="M5" s="16" t="inlineStr">
        <is>
          <t>Theory
(80)</t>
        </is>
      </c>
      <c r="N5" s="16" t="inlineStr">
        <is>
          <t>Internal
(20)</t>
        </is>
      </c>
      <c r="O5" s="17" t="inlineStr">
        <is>
          <t>Total
(100)</t>
        </is>
      </c>
      <c r="P5" s="16" t="inlineStr">
        <is>
          <t>Theory
(80)</t>
        </is>
      </c>
      <c r="Q5" s="16" t="inlineStr">
        <is>
          <t>Internal
(20)</t>
        </is>
      </c>
      <c r="R5" s="17" t="inlineStr">
        <is>
          <t>Total
(100)</t>
        </is>
      </c>
      <c r="S5" s="15" t="n"/>
      <c r="T5" s="15" t="n"/>
      <c r="U5" s="15" t="n"/>
      <c r="V5" s="15" t="n"/>
      <c r="W5" s="15" t="n"/>
    </row>
    <row r="6" ht="23" customHeight="1">
      <c r="A6" s="18" t="n">
        <v>1</v>
      </c>
      <c r="B6" s="18" t="inlineStr"/>
      <c r="C6" s="19" t="inlineStr"/>
      <c r="D6" s="18" t="n"/>
      <c r="E6" s="18" t="n"/>
      <c r="F6" s="20">
        <f>D6+E6</f>
        <v/>
      </c>
      <c r="G6" s="18" t="n"/>
      <c r="H6" s="18" t="n"/>
      <c r="I6" s="20">
        <f>G6+H6</f>
        <v/>
      </c>
      <c r="J6" s="18" t="n"/>
      <c r="K6" s="18" t="n"/>
      <c r="L6" s="20">
        <f>J6+K6</f>
        <v/>
      </c>
      <c r="M6" s="18" t="n"/>
      <c r="N6" s="18" t="n"/>
      <c r="O6" s="20">
        <f>M6+N6</f>
        <v/>
      </c>
      <c r="P6" s="18" t="n"/>
      <c r="Q6" s="18" t="n"/>
      <c r="R6" s="20">
        <f>P6+Q6</f>
        <v/>
      </c>
      <c r="S6" s="21">
        <f>F6+I6+L6+O6+R6</f>
        <v/>
      </c>
      <c r="T6" s="22">
        <f>ROUND((S6/500)*100, 1)</f>
        <v/>
      </c>
      <c r="U6" s="20">
        <f>IF(AND(F6&gt;=35, I6&gt;=35, L6&gt;=35, O6&gt;=35, R6&gt;=35), "PASS", "FAIL")</f>
        <v/>
      </c>
      <c r="V6" s="20">
        <f>IF(U6="FAIL", "F", IF(T6&gt;=90, "A+", IF(T6&gt;=80, "A", IF(T6&gt;=70, "B", IF(T6&gt;=50, "C", "D")))))</f>
        <v/>
      </c>
      <c r="W6" s="20">
        <f>IF(ISBLANK(C6), "", RANK(S6, $S$6:$S$30))</f>
        <v/>
      </c>
    </row>
    <row r="7" ht="23" customHeight="1">
      <c r="A7" s="23" t="n">
        <v>2</v>
      </c>
      <c r="B7" s="23" t="inlineStr"/>
      <c r="C7" s="24" t="inlineStr"/>
      <c r="D7" s="23" t="n"/>
      <c r="E7" s="23" t="n"/>
      <c r="F7" s="25">
        <f>D7+E7</f>
        <v/>
      </c>
      <c r="G7" s="23" t="n"/>
      <c r="H7" s="23" t="n"/>
      <c r="I7" s="25">
        <f>G7+H7</f>
        <v/>
      </c>
      <c r="J7" s="23" t="n"/>
      <c r="K7" s="23" t="n"/>
      <c r="L7" s="25">
        <f>J7+K7</f>
        <v/>
      </c>
      <c r="M7" s="23" t="n"/>
      <c r="N7" s="23" t="n"/>
      <c r="O7" s="25">
        <f>M7+N7</f>
        <v/>
      </c>
      <c r="P7" s="23" t="n"/>
      <c r="Q7" s="23" t="n"/>
      <c r="R7" s="25">
        <f>P7+Q7</f>
        <v/>
      </c>
      <c r="S7" s="26">
        <f>F7+I7+L7+O7+R7</f>
        <v/>
      </c>
      <c r="T7" s="27">
        <f>ROUND((S7/500)*100, 1)</f>
        <v/>
      </c>
      <c r="U7" s="25">
        <f>IF(AND(F7&gt;=35, I7&gt;=35, L7&gt;=35, O7&gt;=35, R7&gt;=35), "PASS", "FAIL")</f>
        <v/>
      </c>
      <c r="V7" s="25">
        <f>IF(U7="FAIL", "F", IF(T7&gt;=90, "A+", IF(T7&gt;=80, "A", IF(T7&gt;=70, "B", IF(T7&gt;=50, "C", "D")))))</f>
        <v/>
      </c>
      <c r="W7" s="25">
        <f>IF(ISBLANK(C7), "", RANK(S7, $S$6:$S$30))</f>
        <v/>
      </c>
    </row>
    <row r="8" ht="23" customHeight="1">
      <c r="A8" s="18" t="n">
        <v>3</v>
      </c>
      <c r="B8" s="18" t="inlineStr"/>
      <c r="C8" s="19" t="inlineStr"/>
      <c r="D8" s="18" t="n"/>
      <c r="E8" s="18" t="n"/>
      <c r="F8" s="20">
        <f>D8+E8</f>
        <v/>
      </c>
      <c r="G8" s="18" t="n"/>
      <c r="H8" s="18" t="n"/>
      <c r="I8" s="20">
        <f>G8+H8</f>
        <v/>
      </c>
      <c r="J8" s="18" t="n"/>
      <c r="K8" s="18" t="n"/>
      <c r="L8" s="20">
        <f>J8+K8</f>
        <v/>
      </c>
      <c r="M8" s="18" t="n"/>
      <c r="N8" s="18" t="n"/>
      <c r="O8" s="20">
        <f>M8+N8</f>
        <v/>
      </c>
      <c r="P8" s="18" t="n"/>
      <c r="Q8" s="18" t="n"/>
      <c r="R8" s="20">
        <f>P8+Q8</f>
        <v/>
      </c>
      <c r="S8" s="21">
        <f>F8+I8+L8+O8+R8</f>
        <v/>
      </c>
      <c r="T8" s="22">
        <f>ROUND((S8/500)*100, 1)</f>
        <v/>
      </c>
      <c r="U8" s="20">
        <f>IF(AND(F8&gt;=35, I8&gt;=35, L8&gt;=35, O8&gt;=35, R8&gt;=35), "PASS", "FAIL")</f>
        <v/>
      </c>
      <c r="V8" s="20">
        <f>IF(U8="FAIL", "F", IF(T8&gt;=90, "A+", IF(T8&gt;=80, "A", IF(T8&gt;=70, "B", IF(T8&gt;=50, "C", "D")))))</f>
        <v/>
      </c>
      <c r="W8" s="20">
        <f>IF(ISBLANK(C8), "", RANK(S8, $S$6:$S$30))</f>
        <v/>
      </c>
    </row>
    <row r="9" ht="23" customHeight="1">
      <c r="A9" s="23" t="n">
        <v>4</v>
      </c>
      <c r="B9" s="23" t="inlineStr"/>
      <c r="C9" s="24" t="inlineStr"/>
      <c r="D9" s="23" t="n"/>
      <c r="E9" s="23" t="n"/>
      <c r="F9" s="25">
        <f>D9+E9</f>
        <v/>
      </c>
      <c r="G9" s="23" t="n"/>
      <c r="H9" s="23" t="n"/>
      <c r="I9" s="25">
        <f>G9+H9</f>
        <v/>
      </c>
      <c r="J9" s="23" t="n"/>
      <c r="K9" s="23" t="n"/>
      <c r="L9" s="25">
        <f>J9+K9</f>
        <v/>
      </c>
      <c r="M9" s="23" t="n"/>
      <c r="N9" s="23" t="n"/>
      <c r="O9" s="25">
        <f>M9+N9</f>
        <v/>
      </c>
      <c r="P9" s="23" t="n"/>
      <c r="Q9" s="23" t="n"/>
      <c r="R9" s="25">
        <f>P9+Q9</f>
        <v/>
      </c>
      <c r="S9" s="26">
        <f>F9+I9+L9+O9+R9</f>
        <v/>
      </c>
      <c r="T9" s="27">
        <f>ROUND((S9/500)*100, 1)</f>
        <v/>
      </c>
      <c r="U9" s="25">
        <f>IF(AND(F9&gt;=35, I9&gt;=35, L9&gt;=35, O9&gt;=35, R9&gt;=35), "PASS", "FAIL")</f>
        <v/>
      </c>
      <c r="V9" s="25">
        <f>IF(U9="FAIL", "F", IF(T9&gt;=90, "A+", IF(T9&gt;=80, "A", IF(T9&gt;=70, "B", IF(T9&gt;=50, "C", "D")))))</f>
        <v/>
      </c>
      <c r="W9" s="25">
        <f>IF(ISBLANK(C9), "", RANK(S9, $S$6:$S$30))</f>
        <v/>
      </c>
    </row>
    <row r="10" ht="23" customHeight="1">
      <c r="A10" s="18" t="n">
        <v>5</v>
      </c>
      <c r="B10" s="18" t="inlineStr"/>
      <c r="C10" s="19" t="inlineStr"/>
      <c r="D10" s="18" t="n"/>
      <c r="E10" s="18" t="n"/>
      <c r="F10" s="20">
        <f>D10+E10</f>
        <v/>
      </c>
      <c r="G10" s="18" t="n"/>
      <c r="H10" s="18" t="n"/>
      <c r="I10" s="20">
        <f>G10+H10</f>
        <v/>
      </c>
      <c r="J10" s="18" t="n"/>
      <c r="K10" s="18" t="n"/>
      <c r="L10" s="20">
        <f>J10+K10</f>
        <v/>
      </c>
      <c r="M10" s="18" t="n"/>
      <c r="N10" s="18" t="n"/>
      <c r="O10" s="20">
        <f>M10+N10</f>
        <v/>
      </c>
      <c r="P10" s="18" t="n"/>
      <c r="Q10" s="18" t="n"/>
      <c r="R10" s="20">
        <f>P10+Q10</f>
        <v/>
      </c>
      <c r="S10" s="21">
        <f>F10+I10+L10+O10+R10</f>
        <v/>
      </c>
      <c r="T10" s="22">
        <f>ROUND((S10/500)*100, 1)</f>
        <v/>
      </c>
      <c r="U10" s="20">
        <f>IF(AND(F10&gt;=35, I10&gt;=35, L10&gt;=35, O10&gt;=35, R10&gt;=35), "PASS", "FAIL")</f>
        <v/>
      </c>
      <c r="V10" s="20">
        <f>IF(U10="FAIL", "F", IF(T10&gt;=90, "A+", IF(T10&gt;=80, "A", IF(T10&gt;=70, "B", IF(T10&gt;=50, "C", "D")))))</f>
        <v/>
      </c>
      <c r="W10" s="20">
        <f>IF(ISBLANK(C10), "", RANK(S10, $S$6:$S$30))</f>
        <v/>
      </c>
    </row>
    <row r="11" ht="23" customHeight="1">
      <c r="A11" s="23" t="n">
        <v>6</v>
      </c>
      <c r="B11" s="23" t="inlineStr"/>
      <c r="C11" s="24" t="inlineStr"/>
      <c r="D11" s="23" t="n"/>
      <c r="E11" s="23" t="n"/>
      <c r="F11" s="25">
        <f>D11+E11</f>
        <v/>
      </c>
      <c r="G11" s="23" t="n"/>
      <c r="H11" s="23" t="n"/>
      <c r="I11" s="25">
        <f>G11+H11</f>
        <v/>
      </c>
      <c r="J11" s="23" t="n"/>
      <c r="K11" s="23" t="n"/>
      <c r="L11" s="25">
        <f>J11+K11</f>
        <v/>
      </c>
      <c r="M11" s="23" t="n"/>
      <c r="N11" s="23" t="n"/>
      <c r="O11" s="25">
        <f>M11+N11</f>
        <v/>
      </c>
      <c r="P11" s="23" t="n"/>
      <c r="Q11" s="23" t="n"/>
      <c r="R11" s="25">
        <f>P11+Q11</f>
        <v/>
      </c>
      <c r="S11" s="26">
        <f>F11+I11+L11+O11+R11</f>
        <v/>
      </c>
      <c r="T11" s="27">
        <f>ROUND((S11/500)*100, 1)</f>
        <v/>
      </c>
      <c r="U11" s="25">
        <f>IF(AND(F11&gt;=35, I11&gt;=35, L11&gt;=35, O11&gt;=35, R11&gt;=35), "PASS", "FAIL")</f>
        <v/>
      </c>
      <c r="V11" s="25">
        <f>IF(U11="FAIL", "F", IF(T11&gt;=90, "A+", IF(T11&gt;=80, "A", IF(T11&gt;=70, "B", IF(T11&gt;=50, "C", "D")))))</f>
        <v/>
      </c>
      <c r="W11" s="25">
        <f>IF(ISBLANK(C11), "", RANK(S11, $S$6:$S$30))</f>
        <v/>
      </c>
    </row>
    <row r="12" ht="23" customHeight="1">
      <c r="A12" s="18" t="n">
        <v>7</v>
      </c>
      <c r="B12" s="18" t="inlineStr"/>
      <c r="C12" s="19" t="inlineStr"/>
      <c r="D12" s="18" t="n"/>
      <c r="E12" s="18" t="n"/>
      <c r="F12" s="20">
        <f>D12+E12</f>
        <v/>
      </c>
      <c r="G12" s="18" t="n"/>
      <c r="H12" s="18" t="n"/>
      <c r="I12" s="20">
        <f>G12+H12</f>
        <v/>
      </c>
      <c r="J12" s="18" t="n"/>
      <c r="K12" s="18" t="n"/>
      <c r="L12" s="20">
        <f>J12+K12</f>
        <v/>
      </c>
      <c r="M12" s="18" t="n"/>
      <c r="N12" s="18" t="n"/>
      <c r="O12" s="20">
        <f>M12+N12</f>
        <v/>
      </c>
      <c r="P12" s="18" t="n"/>
      <c r="Q12" s="18" t="n"/>
      <c r="R12" s="20">
        <f>P12+Q12</f>
        <v/>
      </c>
      <c r="S12" s="21">
        <f>F12+I12+L12+O12+R12</f>
        <v/>
      </c>
      <c r="T12" s="22">
        <f>ROUND((S12/500)*100, 1)</f>
        <v/>
      </c>
      <c r="U12" s="20">
        <f>IF(AND(F12&gt;=35, I12&gt;=35, L12&gt;=35, O12&gt;=35, R12&gt;=35), "PASS", "FAIL")</f>
        <v/>
      </c>
      <c r="V12" s="20">
        <f>IF(U12="FAIL", "F", IF(T12&gt;=90, "A+", IF(T12&gt;=80, "A", IF(T12&gt;=70, "B", IF(T12&gt;=50, "C", "D")))))</f>
        <v/>
      </c>
      <c r="W12" s="20">
        <f>IF(ISBLANK(C12), "", RANK(S12, $S$6:$S$30))</f>
        <v/>
      </c>
    </row>
    <row r="13" ht="23" customHeight="1">
      <c r="A13" s="23" t="n">
        <v>8</v>
      </c>
      <c r="B13" s="23" t="inlineStr"/>
      <c r="C13" s="24" t="inlineStr"/>
      <c r="D13" s="23" t="n"/>
      <c r="E13" s="23" t="n"/>
      <c r="F13" s="25">
        <f>D13+E13</f>
        <v/>
      </c>
      <c r="G13" s="23" t="n"/>
      <c r="H13" s="23" t="n"/>
      <c r="I13" s="25">
        <f>G13+H13</f>
        <v/>
      </c>
      <c r="J13" s="23" t="n"/>
      <c r="K13" s="23" t="n"/>
      <c r="L13" s="25">
        <f>J13+K13</f>
        <v/>
      </c>
      <c r="M13" s="23" t="n"/>
      <c r="N13" s="23" t="n"/>
      <c r="O13" s="25">
        <f>M13+N13</f>
        <v/>
      </c>
      <c r="P13" s="23" t="n"/>
      <c r="Q13" s="23" t="n"/>
      <c r="R13" s="25">
        <f>P13+Q13</f>
        <v/>
      </c>
      <c r="S13" s="26">
        <f>F13+I13+L13+O13+R13</f>
        <v/>
      </c>
      <c r="T13" s="27">
        <f>ROUND((S13/500)*100, 1)</f>
        <v/>
      </c>
      <c r="U13" s="25">
        <f>IF(AND(F13&gt;=35, I13&gt;=35, L13&gt;=35, O13&gt;=35, R13&gt;=35), "PASS", "FAIL")</f>
        <v/>
      </c>
      <c r="V13" s="25">
        <f>IF(U13="FAIL", "F", IF(T13&gt;=90, "A+", IF(T13&gt;=80, "A", IF(T13&gt;=70, "B", IF(T13&gt;=50, "C", "D")))))</f>
        <v/>
      </c>
      <c r="W13" s="25">
        <f>IF(ISBLANK(C13), "", RANK(S13, $S$6:$S$30))</f>
        <v/>
      </c>
    </row>
    <row r="14" ht="23" customHeight="1">
      <c r="A14" s="18" t="n">
        <v>9</v>
      </c>
      <c r="B14" s="18" t="inlineStr"/>
      <c r="C14" s="19" t="inlineStr"/>
      <c r="D14" s="18" t="n"/>
      <c r="E14" s="18" t="n"/>
      <c r="F14" s="20">
        <f>D14+E14</f>
        <v/>
      </c>
      <c r="G14" s="18" t="n"/>
      <c r="H14" s="18" t="n"/>
      <c r="I14" s="20">
        <f>G14+H14</f>
        <v/>
      </c>
      <c r="J14" s="18" t="n"/>
      <c r="K14" s="18" t="n"/>
      <c r="L14" s="20">
        <f>J14+K14</f>
        <v/>
      </c>
      <c r="M14" s="18" t="n"/>
      <c r="N14" s="18" t="n"/>
      <c r="O14" s="20">
        <f>M14+N14</f>
        <v/>
      </c>
      <c r="P14" s="18" t="n"/>
      <c r="Q14" s="18" t="n"/>
      <c r="R14" s="20">
        <f>P14+Q14</f>
        <v/>
      </c>
      <c r="S14" s="21">
        <f>F14+I14+L14+O14+R14</f>
        <v/>
      </c>
      <c r="T14" s="22">
        <f>ROUND((S14/500)*100, 1)</f>
        <v/>
      </c>
      <c r="U14" s="20">
        <f>IF(AND(F14&gt;=35, I14&gt;=35, L14&gt;=35, O14&gt;=35, R14&gt;=35), "PASS", "FAIL")</f>
        <v/>
      </c>
      <c r="V14" s="20">
        <f>IF(U14="FAIL", "F", IF(T14&gt;=90, "A+", IF(T14&gt;=80, "A", IF(T14&gt;=70, "B", IF(T14&gt;=50, "C", "D")))))</f>
        <v/>
      </c>
      <c r="W14" s="20">
        <f>IF(ISBLANK(C14), "", RANK(S14, $S$6:$S$30))</f>
        <v/>
      </c>
    </row>
    <row r="15" ht="23" customHeight="1">
      <c r="A15" s="23" t="n">
        <v>10</v>
      </c>
      <c r="B15" s="23" t="inlineStr"/>
      <c r="C15" s="24" t="inlineStr"/>
      <c r="D15" s="23" t="n"/>
      <c r="E15" s="23" t="n"/>
      <c r="F15" s="25">
        <f>D15+E15</f>
        <v/>
      </c>
      <c r="G15" s="23" t="n"/>
      <c r="H15" s="23" t="n"/>
      <c r="I15" s="25">
        <f>G15+H15</f>
        <v/>
      </c>
      <c r="J15" s="23" t="n"/>
      <c r="K15" s="23" t="n"/>
      <c r="L15" s="25">
        <f>J15+K15</f>
        <v/>
      </c>
      <c r="M15" s="23" t="n"/>
      <c r="N15" s="23" t="n"/>
      <c r="O15" s="25">
        <f>M15+N15</f>
        <v/>
      </c>
      <c r="P15" s="23" t="n"/>
      <c r="Q15" s="23" t="n"/>
      <c r="R15" s="25">
        <f>P15+Q15</f>
        <v/>
      </c>
      <c r="S15" s="26">
        <f>F15+I15+L15+O15+R15</f>
        <v/>
      </c>
      <c r="T15" s="27">
        <f>ROUND((S15/500)*100, 1)</f>
        <v/>
      </c>
      <c r="U15" s="25">
        <f>IF(AND(F15&gt;=35, I15&gt;=35, L15&gt;=35, O15&gt;=35, R15&gt;=35), "PASS", "FAIL")</f>
        <v/>
      </c>
      <c r="V15" s="25">
        <f>IF(U15="FAIL", "F", IF(T15&gt;=90, "A+", IF(T15&gt;=80, "A", IF(T15&gt;=70, "B", IF(T15&gt;=50, "C", "D")))))</f>
        <v/>
      </c>
      <c r="W15" s="25">
        <f>IF(ISBLANK(C15), "", RANK(S15, $S$6:$S$30))</f>
        <v/>
      </c>
    </row>
    <row r="16" ht="23" customHeight="1">
      <c r="A16" s="18" t="n">
        <v>11</v>
      </c>
      <c r="B16" s="18" t="inlineStr"/>
      <c r="C16" s="19" t="inlineStr"/>
      <c r="D16" s="18" t="n"/>
      <c r="E16" s="18" t="n"/>
      <c r="F16" s="20">
        <f>D16+E16</f>
        <v/>
      </c>
      <c r="G16" s="18" t="n"/>
      <c r="H16" s="18" t="n"/>
      <c r="I16" s="20">
        <f>G16+H16</f>
        <v/>
      </c>
      <c r="J16" s="18" t="n"/>
      <c r="K16" s="18" t="n"/>
      <c r="L16" s="20">
        <f>J16+K16</f>
        <v/>
      </c>
      <c r="M16" s="18" t="n"/>
      <c r="N16" s="18" t="n"/>
      <c r="O16" s="20">
        <f>M16+N16</f>
        <v/>
      </c>
      <c r="P16" s="18" t="n"/>
      <c r="Q16" s="18" t="n"/>
      <c r="R16" s="20">
        <f>P16+Q16</f>
        <v/>
      </c>
      <c r="S16" s="21">
        <f>F16+I16+L16+O16+R16</f>
        <v/>
      </c>
      <c r="T16" s="22">
        <f>ROUND((S16/500)*100, 1)</f>
        <v/>
      </c>
      <c r="U16" s="20">
        <f>IF(AND(F16&gt;=35, I16&gt;=35, L16&gt;=35, O16&gt;=35, R16&gt;=35), "PASS", "FAIL")</f>
        <v/>
      </c>
      <c r="V16" s="20">
        <f>IF(U16="FAIL", "F", IF(T16&gt;=90, "A+", IF(T16&gt;=80, "A", IF(T16&gt;=70, "B", IF(T16&gt;=50, "C", "D")))))</f>
        <v/>
      </c>
      <c r="W16" s="20">
        <f>IF(ISBLANK(C16), "", RANK(S16, $S$6:$S$30))</f>
        <v/>
      </c>
    </row>
    <row r="17" ht="23" customHeight="1">
      <c r="A17" s="23" t="n">
        <v>12</v>
      </c>
      <c r="B17" s="23" t="inlineStr"/>
      <c r="C17" s="24" t="inlineStr"/>
      <c r="D17" s="23" t="n"/>
      <c r="E17" s="23" t="n"/>
      <c r="F17" s="25">
        <f>D17+E17</f>
        <v/>
      </c>
      <c r="G17" s="23" t="n"/>
      <c r="H17" s="23" t="n"/>
      <c r="I17" s="25">
        <f>G17+H17</f>
        <v/>
      </c>
      <c r="J17" s="23" t="n"/>
      <c r="K17" s="23" t="n"/>
      <c r="L17" s="25">
        <f>J17+K17</f>
        <v/>
      </c>
      <c r="M17" s="23" t="n"/>
      <c r="N17" s="23" t="n"/>
      <c r="O17" s="25">
        <f>M17+N17</f>
        <v/>
      </c>
      <c r="P17" s="23" t="n"/>
      <c r="Q17" s="23" t="n"/>
      <c r="R17" s="25">
        <f>P17+Q17</f>
        <v/>
      </c>
      <c r="S17" s="26">
        <f>F17+I17+L17+O17+R17</f>
        <v/>
      </c>
      <c r="T17" s="27">
        <f>ROUND((S17/500)*100, 1)</f>
        <v/>
      </c>
      <c r="U17" s="25">
        <f>IF(AND(F17&gt;=35, I17&gt;=35, L17&gt;=35, O17&gt;=35, R17&gt;=35), "PASS", "FAIL")</f>
        <v/>
      </c>
      <c r="V17" s="25">
        <f>IF(U17="FAIL", "F", IF(T17&gt;=90, "A+", IF(T17&gt;=80, "A", IF(T17&gt;=70, "B", IF(T17&gt;=50, "C", "D")))))</f>
        <v/>
      </c>
      <c r="W17" s="25">
        <f>IF(ISBLANK(C17), "", RANK(S17, $S$6:$S$30))</f>
        <v/>
      </c>
    </row>
    <row r="18" ht="23" customHeight="1">
      <c r="A18" s="18" t="n">
        <v>13</v>
      </c>
      <c r="B18" s="18" t="inlineStr"/>
      <c r="C18" s="19" t="inlineStr"/>
      <c r="D18" s="18" t="n"/>
      <c r="E18" s="18" t="n"/>
      <c r="F18" s="20">
        <f>D18+E18</f>
        <v/>
      </c>
      <c r="G18" s="18" t="n"/>
      <c r="H18" s="18" t="n"/>
      <c r="I18" s="20">
        <f>G18+H18</f>
        <v/>
      </c>
      <c r="J18" s="18" t="n"/>
      <c r="K18" s="18" t="n"/>
      <c r="L18" s="20">
        <f>J18+K18</f>
        <v/>
      </c>
      <c r="M18" s="18" t="n"/>
      <c r="N18" s="18" t="n"/>
      <c r="O18" s="20">
        <f>M18+N18</f>
        <v/>
      </c>
      <c r="P18" s="18" t="n"/>
      <c r="Q18" s="18" t="n"/>
      <c r="R18" s="20">
        <f>P18+Q18</f>
        <v/>
      </c>
      <c r="S18" s="21">
        <f>F18+I18+L18+O18+R18</f>
        <v/>
      </c>
      <c r="T18" s="22">
        <f>ROUND((S18/500)*100, 1)</f>
        <v/>
      </c>
      <c r="U18" s="20">
        <f>IF(AND(F18&gt;=35, I18&gt;=35, L18&gt;=35, O18&gt;=35, R18&gt;=35), "PASS", "FAIL")</f>
        <v/>
      </c>
      <c r="V18" s="20">
        <f>IF(U18="FAIL", "F", IF(T18&gt;=90, "A+", IF(T18&gt;=80, "A", IF(T18&gt;=70, "B", IF(T18&gt;=50, "C", "D")))))</f>
        <v/>
      </c>
      <c r="W18" s="20">
        <f>IF(ISBLANK(C18), "", RANK(S18, $S$6:$S$30))</f>
        <v/>
      </c>
    </row>
    <row r="19" ht="23" customHeight="1">
      <c r="A19" s="23" t="n">
        <v>14</v>
      </c>
      <c r="B19" s="23" t="inlineStr"/>
      <c r="C19" s="24" t="inlineStr"/>
      <c r="D19" s="23" t="n"/>
      <c r="E19" s="23" t="n"/>
      <c r="F19" s="25">
        <f>D19+E19</f>
        <v/>
      </c>
      <c r="G19" s="23" t="n"/>
      <c r="H19" s="23" t="n"/>
      <c r="I19" s="25">
        <f>G19+H19</f>
        <v/>
      </c>
      <c r="J19" s="23" t="n"/>
      <c r="K19" s="23" t="n"/>
      <c r="L19" s="25">
        <f>J19+K19</f>
        <v/>
      </c>
      <c r="M19" s="23" t="n"/>
      <c r="N19" s="23" t="n"/>
      <c r="O19" s="25">
        <f>M19+N19</f>
        <v/>
      </c>
      <c r="P19" s="23" t="n"/>
      <c r="Q19" s="23" t="n"/>
      <c r="R19" s="25">
        <f>P19+Q19</f>
        <v/>
      </c>
      <c r="S19" s="26">
        <f>F19+I19+L19+O19+R19</f>
        <v/>
      </c>
      <c r="T19" s="27">
        <f>ROUND((S19/500)*100, 1)</f>
        <v/>
      </c>
      <c r="U19" s="25">
        <f>IF(AND(F19&gt;=35, I19&gt;=35, L19&gt;=35, O19&gt;=35, R19&gt;=35), "PASS", "FAIL")</f>
        <v/>
      </c>
      <c r="V19" s="25">
        <f>IF(U19="FAIL", "F", IF(T19&gt;=90, "A+", IF(T19&gt;=80, "A", IF(T19&gt;=70, "B", IF(T19&gt;=50, "C", "D")))))</f>
        <v/>
      </c>
      <c r="W19" s="25">
        <f>IF(ISBLANK(C19), "", RANK(S19, $S$6:$S$30))</f>
        <v/>
      </c>
    </row>
    <row r="20" ht="23" customHeight="1">
      <c r="A20" s="18" t="n">
        <v>15</v>
      </c>
      <c r="B20" s="18" t="inlineStr"/>
      <c r="C20" s="19" t="inlineStr"/>
      <c r="D20" s="18" t="n"/>
      <c r="E20" s="18" t="n"/>
      <c r="F20" s="20">
        <f>D20+E20</f>
        <v/>
      </c>
      <c r="G20" s="18" t="n"/>
      <c r="H20" s="18" t="n"/>
      <c r="I20" s="20">
        <f>G20+H20</f>
        <v/>
      </c>
      <c r="J20" s="18" t="n"/>
      <c r="K20" s="18" t="n"/>
      <c r="L20" s="20">
        <f>J20+K20</f>
        <v/>
      </c>
      <c r="M20" s="18" t="n"/>
      <c r="N20" s="18" t="n"/>
      <c r="O20" s="20">
        <f>M20+N20</f>
        <v/>
      </c>
      <c r="P20" s="18" t="n"/>
      <c r="Q20" s="18" t="n"/>
      <c r="R20" s="20">
        <f>P20+Q20</f>
        <v/>
      </c>
      <c r="S20" s="21">
        <f>F20+I20+L20+O20+R20</f>
        <v/>
      </c>
      <c r="T20" s="22">
        <f>ROUND((S20/500)*100, 1)</f>
        <v/>
      </c>
      <c r="U20" s="20">
        <f>IF(AND(F20&gt;=35, I20&gt;=35, L20&gt;=35, O20&gt;=35, R20&gt;=35), "PASS", "FAIL")</f>
        <v/>
      </c>
      <c r="V20" s="20">
        <f>IF(U20="FAIL", "F", IF(T20&gt;=90, "A+", IF(T20&gt;=80, "A", IF(T20&gt;=70, "B", IF(T20&gt;=50, "C", "D")))))</f>
        <v/>
      </c>
      <c r="W20" s="20">
        <f>IF(ISBLANK(C20), "", RANK(S20, $S$6:$S$30))</f>
        <v/>
      </c>
    </row>
    <row r="21" ht="23" customHeight="1">
      <c r="A21" s="23" t="n">
        <v>16</v>
      </c>
      <c r="B21" s="23" t="inlineStr"/>
      <c r="C21" s="24" t="inlineStr"/>
      <c r="D21" s="23" t="n"/>
      <c r="E21" s="23" t="n"/>
      <c r="F21" s="25">
        <f>D21+E21</f>
        <v/>
      </c>
      <c r="G21" s="23" t="n"/>
      <c r="H21" s="23" t="n"/>
      <c r="I21" s="25">
        <f>G21+H21</f>
        <v/>
      </c>
      <c r="J21" s="23" t="n"/>
      <c r="K21" s="23" t="n"/>
      <c r="L21" s="25">
        <f>J21+K21</f>
        <v/>
      </c>
      <c r="M21" s="23" t="n"/>
      <c r="N21" s="23" t="n"/>
      <c r="O21" s="25">
        <f>M21+N21</f>
        <v/>
      </c>
      <c r="P21" s="23" t="n"/>
      <c r="Q21" s="23" t="n"/>
      <c r="R21" s="25">
        <f>P21+Q21</f>
        <v/>
      </c>
      <c r="S21" s="26">
        <f>F21+I21+L21+O21+R21</f>
        <v/>
      </c>
      <c r="T21" s="27">
        <f>ROUND((S21/500)*100, 1)</f>
        <v/>
      </c>
      <c r="U21" s="25">
        <f>IF(AND(F21&gt;=35, I21&gt;=35, L21&gt;=35, O21&gt;=35, R21&gt;=35), "PASS", "FAIL")</f>
        <v/>
      </c>
      <c r="V21" s="25">
        <f>IF(U21="FAIL", "F", IF(T21&gt;=90, "A+", IF(T21&gt;=80, "A", IF(T21&gt;=70, "B", IF(T21&gt;=50, "C", "D")))))</f>
        <v/>
      </c>
      <c r="W21" s="25">
        <f>IF(ISBLANK(C21), "", RANK(S21, $S$6:$S$30))</f>
        <v/>
      </c>
    </row>
    <row r="22" ht="23" customHeight="1">
      <c r="A22" s="18" t="n">
        <v>17</v>
      </c>
      <c r="B22" s="18" t="inlineStr"/>
      <c r="C22" s="19" t="inlineStr"/>
      <c r="D22" s="18" t="n"/>
      <c r="E22" s="18" t="n"/>
      <c r="F22" s="20">
        <f>D22+E22</f>
        <v/>
      </c>
      <c r="G22" s="18" t="n"/>
      <c r="H22" s="18" t="n"/>
      <c r="I22" s="20">
        <f>G22+H22</f>
        <v/>
      </c>
      <c r="J22" s="18" t="n"/>
      <c r="K22" s="18" t="n"/>
      <c r="L22" s="20">
        <f>J22+K22</f>
        <v/>
      </c>
      <c r="M22" s="18" t="n"/>
      <c r="N22" s="18" t="n"/>
      <c r="O22" s="20">
        <f>M22+N22</f>
        <v/>
      </c>
      <c r="P22" s="18" t="n"/>
      <c r="Q22" s="18" t="n"/>
      <c r="R22" s="20">
        <f>P22+Q22</f>
        <v/>
      </c>
      <c r="S22" s="21">
        <f>F22+I22+L22+O22+R22</f>
        <v/>
      </c>
      <c r="T22" s="22">
        <f>ROUND((S22/500)*100, 1)</f>
        <v/>
      </c>
      <c r="U22" s="20">
        <f>IF(AND(F22&gt;=35, I22&gt;=35, L22&gt;=35, O22&gt;=35, R22&gt;=35), "PASS", "FAIL")</f>
        <v/>
      </c>
      <c r="V22" s="20">
        <f>IF(U22="FAIL", "F", IF(T22&gt;=90, "A+", IF(T22&gt;=80, "A", IF(T22&gt;=70, "B", IF(T22&gt;=50, "C", "D")))))</f>
        <v/>
      </c>
      <c r="W22" s="20">
        <f>IF(ISBLANK(C22), "", RANK(S22, $S$6:$S$30))</f>
        <v/>
      </c>
    </row>
    <row r="23" ht="23" customHeight="1">
      <c r="A23" s="23" t="n">
        <v>18</v>
      </c>
      <c r="B23" s="23" t="inlineStr"/>
      <c r="C23" s="24" t="inlineStr"/>
      <c r="D23" s="23" t="n"/>
      <c r="E23" s="23" t="n"/>
      <c r="F23" s="25">
        <f>D23+E23</f>
        <v/>
      </c>
      <c r="G23" s="23" t="n"/>
      <c r="H23" s="23" t="n"/>
      <c r="I23" s="25">
        <f>G23+H23</f>
        <v/>
      </c>
      <c r="J23" s="23" t="n"/>
      <c r="K23" s="23" t="n"/>
      <c r="L23" s="25">
        <f>J23+K23</f>
        <v/>
      </c>
      <c r="M23" s="23" t="n"/>
      <c r="N23" s="23" t="n"/>
      <c r="O23" s="25">
        <f>M23+N23</f>
        <v/>
      </c>
      <c r="P23" s="23" t="n"/>
      <c r="Q23" s="23" t="n"/>
      <c r="R23" s="25">
        <f>P23+Q23</f>
        <v/>
      </c>
      <c r="S23" s="26">
        <f>F23+I23+L23+O23+R23</f>
        <v/>
      </c>
      <c r="T23" s="27">
        <f>ROUND((S23/500)*100, 1)</f>
        <v/>
      </c>
      <c r="U23" s="25">
        <f>IF(AND(F23&gt;=35, I23&gt;=35, L23&gt;=35, O23&gt;=35, R23&gt;=35), "PASS", "FAIL")</f>
        <v/>
      </c>
      <c r="V23" s="25">
        <f>IF(U23="FAIL", "F", IF(T23&gt;=90, "A+", IF(T23&gt;=80, "A", IF(T23&gt;=70, "B", IF(T23&gt;=50, "C", "D")))))</f>
        <v/>
      </c>
      <c r="W23" s="25">
        <f>IF(ISBLANK(C23), "", RANK(S23, $S$6:$S$30))</f>
        <v/>
      </c>
    </row>
    <row r="24" ht="23" customHeight="1">
      <c r="A24" s="18" t="n">
        <v>19</v>
      </c>
      <c r="B24" s="18" t="inlineStr"/>
      <c r="C24" s="19" t="inlineStr"/>
      <c r="D24" s="18" t="n"/>
      <c r="E24" s="18" t="n"/>
      <c r="F24" s="20">
        <f>D24+E24</f>
        <v/>
      </c>
      <c r="G24" s="18" t="n"/>
      <c r="H24" s="18" t="n"/>
      <c r="I24" s="20">
        <f>G24+H24</f>
        <v/>
      </c>
      <c r="J24" s="18" t="n"/>
      <c r="K24" s="18" t="n"/>
      <c r="L24" s="20">
        <f>J24+K24</f>
        <v/>
      </c>
      <c r="M24" s="18" t="n"/>
      <c r="N24" s="18" t="n"/>
      <c r="O24" s="20">
        <f>M24+N24</f>
        <v/>
      </c>
      <c r="P24" s="18" t="n"/>
      <c r="Q24" s="18" t="n"/>
      <c r="R24" s="20">
        <f>P24+Q24</f>
        <v/>
      </c>
      <c r="S24" s="21">
        <f>F24+I24+L24+O24+R24</f>
        <v/>
      </c>
      <c r="T24" s="22">
        <f>ROUND((S24/500)*100, 1)</f>
        <v/>
      </c>
      <c r="U24" s="20">
        <f>IF(AND(F24&gt;=35, I24&gt;=35, L24&gt;=35, O24&gt;=35, R24&gt;=35), "PASS", "FAIL")</f>
        <v/>
      </c>
      <c r="V24" s="20">
        <f>IF(U24="FAIL", "F", IF(T24&gt;=90, "A+", IF(T24&gt;=80, "A", IF(T24&gt;=70, "B", IF(T24&gt;=50, "C", "D")))))</f>
        <v/>
      </c>
      <c r="W24" s="20">
        <f>IF(ISBLANK(C24), "", RANK(S24, $S$6:$S$30))</f>
        <v/>
      </c>
    </row>
    <row r="25" ht="23" customHeight="1">
      <c r="A25" s="23" t="n">
        <v>20</v>
      </c>
      <c r="B25" s="23" t="inlineStr"/>
      <c r="C25" s="24" t="inlineStr"/>
      <c r="D25" s="23" t="n"/>
      <c r="E25" s="23" t="n"/>
      <c r="F25" s="25">
        <f>D25+E25</f>
        <v/>
      </c>
      <c r="G25" s="23" t="n"/>
      <c r="H25" s="23" t="n"/>
      <c r="I25" s="25">
        <f>G25+H25</f>
        <v/>
      </c>
      <c r="J25" s="23" t="n"/>
      <c r="K25" s="23" t="n"/>
      <c r="L25" s="25">
        <f>J25+K25</f>
        <v/>
      </c>
      <c r="M25" s="23" t="n"/>
      <c r="N25" s="23" t="n"/>
      <c r="O25" s="25">
        <f>M25+N25</f>
        <v/>
      </c>
      <c r="P25" s="23" t="n"/>
      <c r="Q25" s="23" t="n"/>
      <c r="R25" s="25">
        <f>P25+Q25</f>
        <v/>
      </c>
      <c r="S25" s="26">
        <f>F25+I25+L25+O25+R25</f>
        <v/>
      </c>
      <c r="T25" s="27">
        <f>ROUND((S25/500)*100, 1)</f>
        <v/>
      </c>
      <c r="U25" s="25">
        <f>IF(AND(F25&gt;=35, I25&gt;=35, L25&gt;=35, O25&gt;=35, R25&gt;=35), "PASS", "FAIL")</f>
        <v/>
      </c>
      <c r="V25" s="25">
        <f>IF(U25="FAIL", "F", IF(T25&gt;=90, "A+", IF(T25&gt;=80, "A", IF(T25&gt;=70, "B", IF(T25&gt;=50, "C", "D")))))</f>
        <v/>
      </c>
      <c r="W25" s="25">
        <f>IF(ISBLANK(C25), "", RANK(S25, $S$6:$S$30))</f>
        <v/>
      </c>
    </row>
    <row r="26" ht="23" customHeight="1">
      <c r="A26" s="18" t="n">
        <v>21</v>
      </c>
      <c r="B26" s="18" t="inlineStr"/>
      <c r="C26" s="19" t="inlineStr"/>
      <c r="D26" s="18" t="n"/>
      <c r="E26" s="18" t="n"/>
      <c r="F26" s="20">
        <f>D26+E26</f>
        <v/>
      </c>
      <c r="G26" s="18" t="n"/>
      <c r="H26" s="18" t="n"/>
      <c r="I26" s="20">
        <f>G26+H26</f>
        <v/>
      </c>
      <c r="J26" s="18" t="n"/>
      <c r="K26" s="18" t="n"/>
      <c r="L26" s="20">
        <f>J26+K26</f>
        <v/>
      </c>
      <c r="M26" s="18" t="n"/>
      <c r="N26" s="18" t="n"/>
      <c r="O26" s="20">
        <f>M26+N26</f>
        <v/>
      </c>
      <c r="P26" s="18" t="n"/>
      <c r="Q26" s="18" t="n"/>
      <c r="R26" s="20">
        <f>P26+Q26</f>
        <v/>
      </c>
      <c r="S26" s="21">
        <f>F26+I26+L26+O26+R26</f>
        <v/>
      </c>
      <c r="T26" s="22">
        <f>ROUND((S26/500)*100, 1)</f>
        <v/>
      </c>
      <c r="U26" s="20">
        <f>IF(AND(F26&gt;=35, I26&gt;=35, L26&gt;=35, O26&gt;=35, R26&gt;=35), "PASS", "FAIL")</f>
        <v/>
      </c>
      <c r="V26" s="20">
        <f>IF(U26="FAIL", "F", IF(T26&gt;=90, "A+", IF(T26&gt;=80, "A", IF(T26&gt;=70, "B", IF(T26&gt;=50, "C", "D")))))</f>
        <v/>
      </c>
      <c r="W26" s="20">
        <f>IF(ISBLANK(C26), "", RANK(S26, $S$6:$S$30))</f>
        <v/>
      </c>
    </row>
    <row r="27" ht="23" customHeight="1">
      <c r="A27" s="23" t="n">
        <v>22</v>
      </c>
      <c r="B27" s="23" t="inlineStr"/>
      <c r="C27" s="24" t="inlineStr"/>
      <c r="D27" s="23" t="n"/>
      <c r="E27" s="23" t="n"/>
      <c r="F27" s="25">
        <f>D27+E27</f>
        <v/>
      </c>
      <c r="G27" s="23" t="n"/>
      <c r="H27" s="23" t="n"/>
      <c r="I27" s="25">
        <f>G27+H27</f>
        <v/>
      </c>
      <c r="J27" s="23" t="n"/>
      <c r="K27" s="23" t="n"/>
      <c r="L27" s="25">
        <f>J27+K27</f>
        <v/>
      </c>
      <c r="M27" s="23" t="n"/>
      <c r="N27" s="23" t="n"/>
      <c r="O27" s="25">
        <f>M27+N27</f>
        <v/>
      </c>
      <c r="P27" s="23" t="n"/>
      <c r="Q27" s="23" t="n"/>
      <c r="R27" s="25">
        <f>P27+Q27</f>
        <v/>
      </c>
      <c r="S27" s="26">
        <f>F27+I27+L27+O27+R27</f>
        <v/>
      </c>
      <c r="T27" s="27">
        <f>ROUND((S27/500)*100, 1)</f>
        <v/>
      </c>
      <c r="U27" s="25">
        <f>IF(AND(F27&gt;=35, I27&gt;=35, L27&gt;=35, O27&gt;=35, R27&gt;=35), "PASS", "FAIL")</f>
        <v/>
      </c>
      <c r="V27" s="25">
        <f>IF(U27="FAIL", "F", IF(T27&gt;=90, "A+", IF(T27&gt;=80, "A", IF(T27&gt;=70, "B", IF(T27&gt;=50, "C", "D")))))</f>
        <v/>
      </c>
      <c r="W27" s="25">
        <f>IF(ISBLANK(C27), "", RANK(S27, $S$6:$S$30))</f>
        <v/>
      </c>
    </row>
    <row r="28" ht="23" customHeight="1">
      <c r="A28" s="18" t="n">
        <v>23</v>
      </c>
      <c r="B28" s="18" t="inlineStr"/>
      <c r="C28" s="19" t="inlineStr"/>
      <c r="D28" s="18" t="n"/>
      <c r="E28" s="18" t="n"/>
      <c r="F28" s="20">
        <f>D28+E28</f>
        <v/>
      </c>
      <c r="G28" s="18" t="n"/>
      <c r="H28" s="18" t="n"/>
      <c r="I28" s="20">
        <f>G28+H28</f>
        <v/>
      </c>
      <c r="J28" s="18" t="n"/>
      <c r="K28" s="18" t="n"/>
      <c r="L28" s="20">
        <f>J28+K28</f>
        <v/>
      </c>
      <c r="M28" s="18" t="n"/>
      <c r="N28" s="18" t="n"/>
      <c r="O28" s="20">
        <f>M28+N28</f>
        <v/>
      </c>
      <c r="P28" s="18" t="n"/>
      <c r="Q28" s="18" t="n"/>
      <c r="R28" s="20">
        <f>P28+Q28</f>
        <v/>
      </c>
      <c r="S28" s="21">
        <f>F28+I28+L28+O28+R28</f>
        <v/>
      </c>
      <c r="T28" s="22">
        <f>ROUND((S28/500)*100, 1)</f>
        <v/>
      </c>
      <c r="U28" s="20">
        <f>IF(AND(F28&gt;=35, I28&gt;=35, L28&gt;=35, O28&gt;=35, R28&gt;=35), "PASS", "FAIL")</f>
        <v/>
      </c>
      <c r="V28" s="20">
        <f>IF(U28="FAIL", "F", IF(T28&gt;=90, "A+", IF(T28&gt;=80, "A", IF(T28&gt;=70, "B", IF(T28&gt;=50, "C", "D")))))</f>
        <v/>
      </c>
      <c r="W28" s="20">
        <f>IF(ISBLANK(C28), "", RANK(S28, $S$6:$S$30))</f>
        <v/>
      </c>
    </row>
    <row r="29" ht="23" customHeight="1">
      <c r="A29" s="23" t="n">
        <v>24</v>
      </c>
      <c r="B29" s="23" t="inlineStr"/>
      <c r="C29" s="24" t="inlineStr"/>
      <c r="D29" s="23" t="n"/>
      <c r="E29" s="23" t="n"/>
      <c r="F29" s="25">
        <f>D29+E29</f>
        <v/>
      </c>
      <c r="G29" s="23" t="n"/>
      <c r="H29" s="23" t="n"/>
      <c r="I29" s="25">
        <f>G29+H29</f>
        <v/>
      </c>
      <c r="J29" s="23" t="n"/>
      <c r="K29" s="23" t="n"/>
      <c r="L29" s="25">
        <f>J29+K29</f>
        <v/>
      </c>
      <c r="M29" s="23" t="n"/>
      <c r="N29" s="23" t="n"/>
      <c r="O29" s="25">
        <f>M29+N29</f>
        <v/>
      </c>
      <c r="P29" s="23" t="n"/>
      <c r="Q29" s="23" t="n"/>
      <c r="R29" s="25">
        <f>P29+Q29</f>
        <v/>
      </c>
      <c r="S29" s="26">
        <f>F29+I29+L29+O29+R29</f>
        <v/>
      </c>
      <c r="T29" s="27">
        <f>ROUND((S29/500)*100, 1)</f>
        <v/>
      </c>
      <c r="U29" s="25">
        <f>IF(AND(F29&gt;=35, I29&gt;=35, L29&gt;=35, O29&gt;=35, R29&gt;=35), "PASS", "FAIL")</f>
        <v/>
      </c>
      <c r="V29" s="25">
        <f>IF(U29="FAIL", "F", IF(T29&gt;=90, "A+", IF(T29&gt;=80, "A", IF(T29&gt;=70, "B", IF(T29&gt;=50, "C", "D")))))</f>
        <v/>
      </c>
      <c r="W29" s="25">
        <f>IF(ISBLANK(C29), "", RANK(S29, $S$6:$S$30))</f>
        <v/>
      </c>
    </row>
    <row r="30" ht="23" customHeight="1">
      <c r="A30" s="18" t="n">
        <v>25</v>
      </c>
      <c r="B30" s="18" t="inlineStr"/>
      <c r="C30" s="19" t="inlineStr"/>
      <c r="D30" s="18" t="n"/>
      <c r="E30" s="18" t="n"/>
      <c r="F30" s="20">
        <f>D30+E30</f>
        <v/>
      </c>
      <c r="G30" s="18" t="n"/>
      <c r="H30" s="18" t="n"/>
      <c r="I30" s="20">
        <f>G30+H30</f>
        <v/>
      </c>
      <c r="J30" s="18" t="n"/>
      <c r="K30" s="18" t="n"/>
      <c r="L30" s="20">
        <f>J30+K30</f>
        <v/>
      </c>
      <c r="M30" s="18" t="n"/>
      <c r="N30" s="18" t="n"/>
      <c r="O30" s="20">
        <f>M30+N30</f>
        <v/>
      </c>
      <c r="P30" s="18" t="n"/>
      <c r="Q30" s="18" t="n"/>
      <c r="R30" s="20">
        <f>P30+Q30</f>
        <v/>
      </c>
      <c r="S30" s="21">
        <f>F30+I30+L30+O30+R30</f>
        <v/>
      </c>
      <c r="T30" s="22">
        <f>ROUND((S30/500)*100, 1)</f>
        <v/>
      </c>
      <c r="U30" s="20">
        <f>IF(AND(F30&gt;=35, I30&gt;=35, L30&gt;=35, O30&gt;=35, R30&gt;=35), "PASS", "FAIL")</f>
        <v/>
      </c>
      <c r="V30" s="20">
        <f>IF(U30="FAIL", "F", IF(T30&gt;=90, "A+", IF(T30&gt;=80, "A", IF(T30&gt;=70, "B", IF(T30&gt;=50, "C", "D")))))</f>
        <v/>
      </c>
      <c r="W30" s="20">
        <f>IF(ISBLANK(C30), "", RANK(S30, $S$6:$S$30))</f>
        <v/>
      </c>
    </row>
    <row r="32" ht="22" customHeight="1">
      <c r="A32" s="28" t="inlineStr">
        <is>
          <t>Class Average</t>
        </is>
      </c>
      <c r="B32" s="29" t="n"/>
      <c r="C32" s="29" t="n"/>
      <c r="D32" s="30">
        <f>ROUND(AVERAGE(D6:D30), 1)</f>
        <v/>
      </c>
      <c r="E32" s="30">
        <f>ROUND(AVERAGE(E6:E30), 1)</f>
        <v/>
      </c>
      <c r="F32" s="30">
        <f>ROUND(AVERAGE(F6:F30), 1)</f>
        <v/>
      </c>
      <c r="G32" s="30">
        <f>ROUND(AVERAGE(G6:G30), 1)</f>
        <v/>
      </c>
      <c r="H32" s="30">
        <f>ROUND(AVERAGE(H6:H30), 1)</f>
        <v/>
      </c>
      <c r="I32" s="30">
        <f>ROUND(AVERAGE(I6:I30), 1)</f>
        <v/>
      </c>
      <c r="J32" s="30">
        <f>ROUND(AVERAGE(J6:J30), 1)</f>
        <v/>
      </c>
      <c r="K32" s="30">
        <f>ROUND(AVERAGE(K6:K30), 1)</f>
        <v/>
      </c>
      <c r="L32" s="30">
        <f>ROUND(AVERAGE(L6:L30), 1)</f>
        <v/>
      </c>
      <c r="M32" s="30">
        <f>ROUND(AVERAGE(M6:M30), 1)</f>
        <v/>
      </c>
      <c r="N32" s="30">
        <f>ROUND(AVERAGE(N6:N30), 1)</f>
        <v/>
      </c>
      <c r="O32" s="30">
        <f>ROUND(AVERAGE(O6:O30), 1)</f>
        <v/>
      </c>
      <c r="P32" s="30">
        <f>ROUND(AVERAGE(P6:P30), 1)</f>
        <v/>
      </c>
      <c r="Q32" s="30">
        <f>ROUND(AVERAGE(Q6:Q30), 1)</f>
        <v/>
      </c>
      <c r="R32" s="30">
        <f>ROUND(AVERAGE(R6:R30), 1)</f>
        <v/>
      </c>
      <c r="S32" s="30">
        <f>ROUND(AVERAGE(S6:S30), 1)</f>
        <v/>
      </c>
      <c r="T32" s="31">
        <f>ROUND(AVERAGE(T6:T30), 1)</f>
        <v/>
      </c>
      <c r="U32" s="29" t="n"/>
      <c r="V32" s="29" t="n"/>
      <c r="W32" s="29" t="n"/>
    </row>
    <row r="33" ht="22" customHeight="1">
      <c r="A33" s="28" t="inlineStr">
        <is>
          <t>Highest Marks (Max)</t>
        </is>
      </c>
      <c r="B33" s="29" t="n"/>
      <c r="C33" s="29" t="n"/>
      <c r="D33" s="30">
        <f>MAX(D6:D30)</f>
        <v/>
      </c>
      <c r="E33" s="30">
        <f>MAX(E6:E30)</f>
        <v/>
      </c>
      <c r="F33" s="30">
        <f>MAX(F6:F30)</f>
        <v/>
      </c>
      <c r="G33" s="30">
        <f>MAX(G6:G30)</f>
        <v/>
      </c>
      <c r="H33" s="30">
        <f>MAX(H6:H30)</f>
        <v/>
      </c>
      <c r="I33" s="30">
        <f>MAX(I6:I30)</f>
        <v/>
      </c>
      <c r="J33" s="30">
        <f>MAX(J6:J30)</f>
        <v/>
      </c>
      <c r="K33" s="30">
        <f>MAX(K6:K30)</f>
        <v/>
      </c>
      <c r="L33" s="30">
        <f>MAX(L6:L30)</f>
        <v/>
      </c>
      <c r="M33" s="30">
        <f>MAX(M6:M30)</f>
        <v/>
      </c>
      <c r="N33" s="30">
        <f>MAX(N6:N30)</f>
        <v/>
      </c>
      <c r="O33" s="30">
        <f>MAX(O6:O30)</f>
        <v/>
      </c>
      <c r="P33" s="30">
        <f>MAX(P6:P30)</f>
        <v/>
      </c>
      <c r="Q33" s="30">
        <f>MAX(Q6:Q30)</f>
        <v/>
      </c>
      <c r="R33" s="30">
        <f>MAX(R6:R30)</f>
        <v/>
      </c>
      <c r="S33" s="30">
        <f>MAX(S6:S30)</f>
        <v/>
      </c>
      <c r="T33" s="31">
        <f>MAX(T6:T30)</f>
        <v/>
      </c>
      <c r="U33" s="29" t="n"/>
      <c r="V33" s="29" t="n"/>
      <c r="W33" s="29" t="n"/>
    </row>
    <row r="34" ht="22" customHeight="1">
      <c r="A34" s="28" t="inlineStr">
        <is>
          <t>Lowest Marks (Min)</t>
        </is>
      </c>
      <c r="B34" s="29" t="n"/>
      <c r="C34" s="29" t="n"/>
      <c r="D34" s="30">
        <f>MIN(D6:D30)</f>
        <v/>
      </c>
      <c r="E34" s="30">
        <f>MIN(E6:E30)</f>
        <v/>
      </c>
      <c r="F34" s="30">
        <f>MIN(F6:F30)</f>
        <v/>
      </c>
      <c r="G34" s="30">
        <f>MIN(G6:G30)</f>
        <v/>
      </c>
      <c r="H34" s="30">
        <f>MIN(H6:H30)</f>
        <v/>
      </c>
      <c r="I34" s="30">
        <f>MIN(I6:I30)</f>
        <v/>
      </c>
      <c r="J34" s="30">
        <f>MIN(J6:J30)</f>
        <v/>
      </c>
      <c r="K34" s="30">
        <f>MIN(K6:K30)</f>
        <v/>
      </c>
      <c r="L34" s="30">
        <f>MIN(L6:L30)</f>
        <v/>
      </c>
      <c r="M34" s="30">
        <f>MIN(M6:M30)</f>
        <v/>
      </c>
      <c r="N34" s="30">
        <f>MIN(N6:N30)</f>
        <v/>
      </c>
      <c r="O34" s="30">
        <f>MIN(O6:O30)</f>
        <v/>
      </c>
      <c r="P34" s="30">
        <f>MIN(P6:P30)</f>
        <v/>
      </c>
      <c r="Q34" s="30">
        <f>MIN(Q6:Q30)</f>
        <v/>
      </c>
      <c r="R34" s="30">
        <f>MIN(R6:R30)</f>
        <v/>
      </c>
      <c r="S34" s="30">
        <f>MIN(S6:S30)</f>
        <v/>
      </c>
      <c r="T34" s="31">
        <f>MIN(T6:T30)</f>
        <v/>
      </c>
      <c r="U34" s="29" t="n"/>
      <c r="V34" s="29" t="n"/>
      <c r="W34" s="29" t="n"/>
    </row>
    <row r="35" ht="22" customHeight="1">
      <c r="A35" s="28" t="inlineStr">
        <is>
          <t>Pass Count (&gt;= 35)</t>
        </is>
      </c>
      <c r="B35" s="29" t="n"/>
      <c r="C35" s="29" t="n"/>
      <c r="D35" s="30" t="n"/>
      <c r="E35" s="30" t="n"/>
      <c r="F35" s="30">
        <f>COUNTIF(F6:F30, "&gt;=35")</f>
        <v/>
      </c>
      <c r="G35" s="30" t="n"/>
      <c r="H35" s="30" t="n"/>
      <c r="I35" s="30">
        <f>COUNTIF(I6:I30, "&gt;=35")</f>
        <v/>
      </c>
      <c r="J35" s="30" t="n"/>
      <c r="K35" s="30" t="n"/>
      <c r="L35" s="30">
        <f>COUNTIF(L6:L30, "&gt;=35")</f>
        <v/>
      </c>
      <c r="M35" s="30" t="n"/>
      <c r="N35" s="30" t="n"/>
      <c r="O35" s="30">
        <f>COUNTIF(O6:O30, "&gt;=35")</f>
        <v/>
      </c>
      <c r="P35" s="30" t="n"/>
      <c r="Q35" s="30" t="n"/>
      <c r="R35" s="30">
        <f>COUNTIF(R6:R30, "&gt;=35")</f>
        <v/>
      </c>
      <c r="S35" s="30">
        <f>COUNTIF(U6:U30, "PASS")</f>
        <v/>
      </c>
      <c r="T35" s="30">
        <f>COUNTIF(U6:U30, "PASS")</f>
        <v/>
      </c>
      <c r="U35" s="32">
        <f>COUNTIF(U6:U30, "PASS") &amp; " Passed"</f>
        <v/>
      </c>
      <c r="V35" s="29" t="n"/>
      <c r="W35" s="29" t="n"/>
    </row>
    <row r="36" ht="22" customHeight="1">
      <c r="A36" s="33" t="inlineStr">
        <is>
          <t>Pass Percentage (%)</t>
        </is>
      </c>
      <c r="B36" s="34" t="n"/>
      <c r="C36" s="34" t="n"/>
      <c r="D36" s="35" t="n"/>
      <c r="E36" s="35" t="n"/>
      <c r="F36" s="36">
        <f>ROUND((COUNTIF(F6:F30, "&gt;=35") / COUNTA(C6:C30)) * 100, 1)</f>
        <v/>
      </c>
      <c r="G36" s="35" t="n"/>
      <c r="H36" s="35" t="n"/>
      <c r="I36" s="36">
        <f>ROUND((COUNTIF(I6:I30, "&gt;=35") / COUNTA(C6:C30)) * 100, 1)</f>
        <v/>
      </c>
      <c r="J36" s="35" t="n"/>
      <c r="K36" s="35" t="n"/>
      <c r="L36" s="36">
        <f>ROUND((COUNTIF(L6:L30, "&gt;=35") / COUNTA(C6:C30)) * 100, 1)</f>
        <v/>
      </c>
      <c r="M36" s="35" t="n"/>
      <c r="N36" s="35" t="n"/>
      <c r="O36" s="36">
        <f>ROUND((COUNTIF(O6:O30, "&gt;=35") / COUNTA(C6:C30)) * 100, 1)</f>
        <v/>
      </c>
      <c r="P36" s="35" t="n"/>
      <c r="Q36" s="35" t="n"/>
      <c r="R36" s="36">
        <f>ROUND((COUNTIF(R6:R30, "&gt;=35") / COUNTA(C6:C30)) * 100, 1)</f>
        <v/>
      </c>
      <c r="S36" s="36">
        <f>ROUND((COUNTIF(U6:U30, "PASS") / COUNTA(C6:C30)) * 100, 1)</f>
        <v/>
      </c>
      <c r="T36" s="36">
        <f>ROUND((COUNTIF(U6:U30, "PASS") / COUNTA(C6:C30)) * 100, 1)</f>
        <v/>
      </c>
      <c r="U36" s="37">
        <f>ROUND((COUNTIF(U6:U30, "PASS")/COUNTA(C6:C30))*100, 1) &amp; "%"</f>
        <v/>
      </c>
      <c r="V36" s="34" t="n"/>
      <c r="W36" s="34" t="n"/>
    </row>
  </sheetData>
  <mergeCells count="20">
    <mergeCell ref="C4:C5"/>
    <mergeCell ref="T4:T5"/>
    <mergeCell ref="V4:V5"/>
    <mergeCell ref="J4:L4"/>
    <mergeCell ref="A1:W1"/>
    <mergeCell ref="A33:C33"/>
    <mergeCell ref="A32:C32"/>
    <mergeCell ref="D4:F4"/>
    <mergeCell ref="G4:I4"/>
    <mergeCell ref="A35:C35"/>
    <mergeCell ref="A4:A5"/>
    <mergeCell ref="M4:O4"/>
    <mergeCell ref="S4:S5"/>
    <mergeCell ref="A34:C34"/>
    <mergeCell ref="U4:U5"/>
    <mergeCell ref="A2:W2"/>
    <mergeCell ref="P4:R4"/>
    <mergeCell ref="A36:C36"/>
    <mergeCell ref="B4:B5"/>
    <mergeCell ref="W4:W5"/>
  </mergeCells>
  <conditionalFormatting sqref="U6:U30">
    <cfRule type="cellIs" priority="1" operator="equal" dxfId="0" stopIfTrue="1">
      <formula>"PASS"</formula>
    </cfRule>
    <cfRule type="cellIs" priority="2" operator="equal" dxfId="1" stopIfTrue="1">
      <formula>"FAIL"</formula>
    </cfRule>
  </conditionalFormatting>
  <conditionalFormatting sqref="T6:T30">
    <cfRule type="cellIs" priority="3" operator="greaterThanOrEqual" dxfId="2" stopIfTrue="0">
      <formula>75</formula>
    </cfRule>
  </conditionalFormatting>
  <dataValidations count="2">
    <dataValidation sqref="D6 D7 D8 D9 D10 D11 D12 D13 D14 D15 D16 D17 D18 D19 D20 D21 D22 D23 D24 D25 D26 D27 D28 D29 D30 G6 G7 G8 G9 G10 G11 G12 G13 G14 G15 G16 G17 G18 G19 G20 G21 G22 G23 G24 G25 G26 G27 G28 G29 G30 J6 J7 J8 J9 J10 J11 J12 J13 J14 J15 J16 J17 J18 J19 J20 J21 J22 J23 J24 J25 J26 J27 J28 J29 J30 M6 M7 M8 M9 M10 M11 M12 M13 M14 M15 M16 M17 M18 M19 M20 M21 M22 M23 M24 M25 M26 M27 M28 M29 M30 P6 P7 P8 P9 P10 P11 P12 P13 P14 P15 P16 P17 P18 P19 P20 P21 P22 P23 P24 P25 P26 P27 P28 P29 P30" showDropDown="0" showInputMessage="1" showErrorMessage="1" allowBlank="1" errorTitle="Invalid Theory Marks" error="Theory marks must be between 0 and 80." promptTitle="Theory Marks" prompt="Enter marks between 0 and 80" type="whole" operator="between">
      <formula1>0</formula1>
      <formula2>80</formula2>
    </dataValidation>
    <dataValidation sqref="E6 E7 E8 E9 E10 E11 E12 E13 E14 E15 E16 E17 E18 E19 E20 E21 E22 E23 E24 E25 E26 E27 E28 E29 E30 H6 H7 H8 H9 H10 H11 H12 H13 H14 H15 H16 H17 H18 H19 H20 H21 H22 H23 H24 H25 H26 H27 H28 H29 H30 K6 K7 K8 K9 K10 K11 K12 K13 K14 K15 K16 K17 K18 K19 K20 K21 K22 K23 K24 K25 K26 K27 K28 K29 K30 N6 N7 N8 N9 N10 N11 N12 N13 N14 N15 N16 N17 N18 N19 N20 N21 N22 N23 N24 N25 N26 N27 N28 N29 N30 Q6 Q7 Q8 Q9 Q10 Q11 Q12 Q13 Q14 Q15 Q16 Q17 Q18 Q19 Q20 Q21 Q22 Q23 Q24 Q25 Q26 Q27 Q28 Q29 Q30" showDropDown="0" showInputMessage="1" showErrorMessage="1" allowBlank="1" errorTitle="Invalid Internal Marks" error="Internal / Practical marks must be between 0 and 20." promptTitle="Internal Marks" prompt="Enter marks between 0 and 20" type="whole" operator="between">
      <formula1>0</formula1>
      <formula2>20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2026-10-14T06:14:09Z</dcterms:created>
  <dcterms:modified xmlns:dcterms="http://purl.org/dc/terms/" xmlns:xsi="http://www.w3.org/2001/XMLSchema-instance" xsi:type="dcterms:W3CDTF">2026-10-14T06:14:09Z</dcterms:modified>
</cp:coreProperties>
</file>